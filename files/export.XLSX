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53222"/>
  <mc:AlternateContent xmlns:mc="http://schemas.openxmlformats.org/markup-compatibility/2006">
    <mc:Choice Requires="x15">
      <x15ac:absPath xmlns:x15ac="http://schemas.microsoft.com/office/spreadsheetml/2010/11/ac" url="C:\Users\mseidler\Projekte\3PM\PromptToBoatConverter\sample\"/>
    </mc:Choice>
  </mc:AlternateContent>
  <bookViews>
    <workbookView xWindow="0" yWindow="0" windowWidth="23040" windowHeight="9150"/>
  </bookViews>
  <sheets>
    <sheet name="Buchungen angepasst" sheetId="2" r:id="rId1"/>
  </sheets>
  <definedNames>
    <definedName name="_xlnm._FilterDatabase" localSheetId="0" hidden="1">'Buchungen angepasst'!$A$1:$N$72</definedName>
  </definedNames>
  <calcPr calcId="152511"/>
</workbook>
</file>

<file path=xl/calcChain.xml><?xml version="1.0" encoding="utf-8"?>
<calcChain xmlns="http://schemas.openxmlformats.org/spreadsheetml/2006/main">
  <c r="N63" i="2" l="1"/>
  <c r="N58" i="2"/>
  <c r="N64" i="2"/>
  <c r="N42" i="2"/>
  <c r="N43" i="2"/>
  <c r="N45" i="2"/>
  <c r="N67" i="2"/>
  <c r="N62" i="2"/>
  <c r="N60" i="2"/>
  <c r="N55" i="2"/>
  <c r="N53" i="2"/>
  <c r="N50" i="2"/>
  <c r="N49" i="2"/>
  <c r="N47" i="2"/>
  <c r="N39" i="2"/>
  <c r="N30" i="2"/>
  <c r="N16" i="2"/>
  <c r="N13" i="2"/>
  <c r="N12" i="2"/>
  <c r="N7" i="2"/>
  <c r="N6" i="2"/>
  <c r="N11" i="2"/>
  <c r="N10" i="2"/>
  <c r="N21" i="2"/>
  <c r="N20" i="2"/>
  <c r="N19" i="2"/>
  <c r="N18" i="2"/>
  <c r="N17" i="2"/>
  <c r="N22" i="2"/>
  <c r="N23" i="2"/>
  <c r="N26" i="2"/>
  <c r="N28" i="2"/>
  <c r="N27" i="2"/>
  <c r="N31" i="2"/>
  <c r="N36" i="2"/>
  <c r="N35" i="2"/>
  <c r="N41" i="2"/>
  <c r="N44" i="2"/>
  <c r="N51" i="2"/>
  <c r="N66" i="2"/>
  <c r="N69" i="2"/>
  <c r="N68" i="2"/>
  <c r="N72" i="2"/>
  <c r="N70" i="2"/>
  <c r="N61" i="2"/>
  <c r="N59" i="2"/>
  <c r="N57" i="2"/>
  <c r="N56" i="2"/>
  <c r="N54" i="2"/>
  <c r="N52" i="2"/>
  <c r="N48" i="2"/>
  <c r="N46" i="2"/>
  <c r="N40" i="2"/>
  <c r="N38" i="2"/>
  <c r="N37" i="2"/>
  <c r="N34" i="2"/>
  <c r="N33" i="2"/>
  <c r="N32" i="2"/>
  <c r="N29" i="2"/>
  <c r="N24" i="2"/>
  <c r="N15" i="2"/>
  <c r="N9" i="2"/>
  <c r="N8" i="2"/>
  <c r="N5" i="2"/>
  <c r="N3" i="2"/>
  <c r="N2" i="2"/>
  <c r="I74" i="2"/>
  <c r="M74" i="2"/>
  <c r="N74" i="2" l="1"/>
</calcChain>
</file>

<file path=xl/sharedStrings.xml><?xml version="1.0" encoding="utf-8"?>
<sst xmlns="http://schemas.openxmlformats.org/spreadsheetml/2006/main" count="511" uniqueCount="91">
  <si>
    <t>Mitarbeiter</t>
  </si>
  <si>
    <t>Pfad</t>
  </si>
  <si>
    <t>Projekt</t>
  </si>
  <si>
    <t>Unterprojekt</t>
  </si>
  <si>
    <t>Beschreibung</t>
  </si>
  <si>
    <t>Datum</t>
  </si>
  <si>
    <t>Dauer</t>
  </si>
  <si>
    <t>Startzeit</t>
  </si>
  <si>
    <t>Ende</t>
  </si>
  <si>
    <t>Satz Intern</t>
  </si>
  <si>
    <t>Ist P</t>
  </si>
  <si>
    <t>Ist ext P</t>
  </si>
  <si>
    <t>Reichling, Klaus</t>
  </si>
  <si>
    <t>02 Empfehlungen zur Standardisierung &gt; Beratung PS I</t>
  </si>
  <si>
    <t>EA2756 - eGesetzgebung</t>
  </si>
  <si>
    <t>02 Empfehlungen zur Standardisierung</t>
  </si>
  <si>
    <t>Beratung PS I</t>
  </si>
  <si>
    <t>Nacharbeiten Eckpunktepapier, Erstellen einer Liste mit offenen Punkten aus bisherigen Kommentaren, etc. Vorbereitung einer Präsentation DL Treffen,</t>
  </si>
  <si>
    <t>Abstimmung zum Vorgehen im Bereich ePartizipation, Treffen mit Polidia und IFOK, Informationsaustausch im Nachgang</t>
  </si>
  <si>
    <t>01 Analyse Standards und Verfahren &gt; Beratung PS I</t>
  </si>
  <si>
    <t>01 Analyse Standards und Verfahren</t>
  </si>
  <si>
    <t>Entwurf zum Vorgehen "Fachliches Feinkonzept" und Abstimmung mit Stakeholdern, Abstimmung Frau Radohs</t>
  </si>
  <si>
    <t>Weiterentwicklung des Eckpunktepapiers, insbesondere Kapitel "Stakeholder" (Abstimmung mit Frau Röchert Voigt), "Funktionale Anforderungen" und "Kontext"</t>
  </si>
  <si>
    <t>Wüstner, Nadine</t>
  </si>
  <si>
    <t>Optimierung der Methodik zur Anforderungsanalyse, Anpassung auf die Problemstellungen im konkreten Vorhaben</t>
  </si>
  <si>
    <t>Ausformulierung des Eckpunktepapiers, Überarbeitung funktionale Anfoderungen und Geschäftsanwendungsfälle, Abstimmung mit Herrn Gemkow zu Abbildungen</t>
  </si>
  <si>
    <t>Überarbeitung des Eckpunktepapiers und Erstellen der Version 0.6 zum Versand ans BMI, Terminkoordinierung mit Herrn Rothe und Vorbereitung des Feedbacktermins zum Eckpunktepapier</t>
  </si>
  <si>
    <t>Analyse der Kommentare von Herrn Rothe zur Version 0.6, Termin- und Agendavorbereitung für den Feedbacktermin mit Herrn Rothe um 14.00 Uhr</t>
  </si>
  <si>
    <t>Termin mit Herrn Rothe und Frau Radohs, KOmmentare zum Eckpunktepapier, Diskussion weiteres Vorgehen</t>
  </si>
  <si>
    <t>Ausarbeitung des Vorgehens zur weiteren Abstimmung des Eckpunktepapiers, interne Abstimmung zum Einsatz der DialogBox als webbasierte PLattform zur Abstimmung</t>
  </si>
  <si>
    <t>Erstellen Eckpunktepapier v0.7, Einarbeiten von Kommentaren, Versand an BMI</t>
  </si>
  <si>
    <t>Aschenbrenner, Christoph</t>
  </si>
  <si>
    <t>Qualitätssicherung und Inhaltliche Ergänzung Eckpunktepapier.</t>
  </si>
  <si>
    <t>Vorbereitung Präsentation und Termin Dienstleister-Treffen.</t>
  </si>
  <si>
    <t>Leps, Olof</t>
  </si>
  <si>
    <t>01 Analyse Standards und Verfahren &gt; Beratung PS II</t>
  </si>
  <si>
    <t>Beratung PS II</t>
  </si>
  <si>
    <t>Formulierung der Anwendungsfälle im Eckpunktepapier eGesetzgebung</t>
  </si>
  <si>
    <t>Finalisierung des Eckpunktepapiers, Erarbeitung von Visualisierungen und Beschreibungen dieser</t>
  </si>
  <si>
    <t>Gemkow, Dr. Tim</t>
  </si>
  <si>
    <t>Ergänzen der Beschreibungen der spezifischen Anwendungsfälle, die nur in einzelnen Detailprozessen auftreten</t>
  </si>
  <si>
    <t>Überarbeiten der Anwendungsfalldiagramme; Einarbeitung der Rückmeldung von Capgemini zur Stakeholder-Übersicht</t>
  </si>
  <si>
    <t>Verfassen des Kapitels zur Systemabgrenzung; initiale Erstellung der Stakeholder-Übersicht</t>
  </si>
  <si>
    <t>Verfeinern der Anwendungsfallbeschreibungen aus dem Bereich "Arbeit am Regelungsvorhaben", Überprüfung der Abhängigkeiten zwischen Anwendungsfällen</t>
  </si>
  <si>
    <t>Verfeinern der Anwendungsfallbeschreibungen aus dem Bereich "Planung &amp; Steuerung"</t>
  </si>
  <si>
    <t>Überarbeitung der Diagramme</t>
  </si>
  <si>
    <t>Kontrolle und Vereinheitlichung der Diagramme</t>
  </si>
  <si>
    <t>Klärung offener Punkte zur Beschreibung der Anwendungsfälle</t>
  </si>
  <si>
    <t>Inhaltliche und visuelle Überarbeitung Eckpunktepapier nach Abstimmung mit Auftraggeber</t>
  </si>
  <si>
    <t>Inhaltliche Ergänzung und Qualitätssicherung Eckpunktepapier</t>
  </si>
  <si>
    <t>DL Treffen im BMI, Präsentation Stand des Eckpunktepapiers und nächste Schritte, Abstimmung der Gesamt-Projektplanung</t>
  </si>
  <si>
    <t>Vorbereitung DL Treffen im BMI, Überarbeiten der Präsentation zum Stand des Eckpunktepapiers und Versand an Frau Radohs und Herrn Rothe</t>
  </si>
  <si>
    <t>Vorbereitung des Treffens mit Herrn Rothe am Freitag, EInrichten der Plattform zur Abstimmung des Eckpunktepapiers</t>
  </si>
  <si>
    <t>Vorbereitung des Abstimmungstreffens zum Eckpunktepapier und zur Projektplanung</t>
  </si>
  <si>
    <t>Qualitätssicherung der Version 0.7 des Eckpunktepapiers</t>
  </si>
  <si>
    <t>Abstimmungstreffen zu Eckpunktepapier und Projektplanung im BMI</t>
  </si>
  <si>
    <t>Nachbereitung des Abstimmungstreffens</t>
  </si>
  <si>
    <t>Erstellen des Dokuments "Vorgehen Fachfeinkonzepts" für Herrn Rothe, Abstimmung der Arbeitspakete und Meilensteine mit Herrn Gemkow</t>
  </si>
  <si>
    <t>Termin mit Herrn Rothe und Frau Radohs zur Vorbereitung der Abstimmung des Eckpunktepapiers, Vorbereitung der webbasierten Plattform, Termindurchführung</t>
  </si>
  <si>
    <t>Sichtung von Dokumenten von Herrn Rothe zu verwandten Prozesse und Verfahren im Bereich eGesetzgebung, u.a. RIKA Konzept, Dokument von Prof. Ziekow</t>
  </si>
  <si>
    <t>Abstimmung mit Frau Röchert-Voigt zu gemeinsamen Interviews, div. Terminkoordinierungen für Interviews</t>
  </si>
  <si>
    <t>Prüfung der Kommentare und Anmerkungen zum Eckpunktepapier, Abstimmung mit Frau Radohs zum weiteren Vorgehen bei der Einarbeitung</t>
  </si>
  <si>
    <t>Entwurf der Vorgehensbeschreibung für die Anforderungsermittlung</t>
  </si>
  <si>
    <t>Einarbeitung von Hinweisen von Herrn Rothe in das Eckpunktepapier</t>
  </si>
  <si>
    <t>Entwurf des Einleitungskapitels für das Eckpunktepapier</t>
  </si>
  <si>
    <t>Strukturierung der geplanten Anforderungsermittlung</t>
  </si>
  <si>
    <t>Entwurf des Abschnitts "Ausblick und Empfehlungen" im Eckpunktepapier</t>
  </si>
  <si>
    <t>Einarbeitung weiterer Hinweise in das Eckpunktepapier, Vorbereitung des Treffens zur Planung der Stakeholder-Abstimmung für das Eckpunkte-Papier</t>
  </si>
  <si>
    <t>Strukturierung und Zuordnung Organisationeinheiten zu Anwendungsfällen im Eckpunktepapier</t>
  </si>
  <si>
    <t>Koordination zur Vorgehensweise finalisierung Eckpunktepapier</t>
  </si>
  <si>
    <t>Klärung von Zweifelsfällen zur Zuordnung von Anwendungsfällen zu Akteuren und Detailprozessen</t>
  </si>
  <si>
    <t>Nachbereitung des Treffens mit Herrn Rothe</t>
  </si>
  <si>
    <t>Planung des Vorgehens zur nächsten Stufe der Anforderungserhebung</t>
  </si>
  <si>
    <t>Abstimmungstreffen mit Herrn Rothe (BMI) zum Eckpunktepapier und zum weiteren Vorgehen</t>
  </si>
  <si>
    <t>Zuordnung von Anforderungen zu Detailprozessschritten</t>
  </si>
  <si>
    <t>Abstimmung zur Planung des Fachfeinkonzeptes</t>
  </si>
  <si>
    <t>Erste Auswertung zusätzlicher vom BMI bereitgestellter Materialien (Konzept eGesetz von 2005)</t>
  </si>
  <si>
    <t>Finale Qualitätssicherung der Auslieferungsfassung des Eckpunktepapiers</t>
  </si>
  <si>
    <t>Erste Auswertung des Konzepts eGesetz</t>
  </si>
  <si>
    <t>Erste Auswertung des Standards zum European Legislation Identifier</t>
  </si>
  <si>
    <t>Vorbereitung der Vorgaben zur Formulierung von Anforderungen</t>
  </si>
  <si>
    <t>Erster Entwurf des Datenmodells für ein Regelungsvorhaben</t>
  </si>
  <si>
    <t>Erste Auswertung des RIKA-Konzepts zum geplanten Rechtsinformationssystem des Bundes</t>
  </si>
  <si>
    <t>Strukturierung des zukünftigen Rollenkonzepts</t>
  </si>
  <si>
    <t>Zusammenstellung der bisher benötigten Datenfelder für Anforderungen</t>
  </si>
  <si>
    <t>Strukturierung der Anforderungen an Zulieferungen der Teilprojekte</t>
  </si>
  <si>
    <t>Strukturierung der Anforderungen an Zulieferungen der Teilprojekte, Dienstleisterkoordination</t>
  </si>
  <si>
    <t>Vorgehensplanung zur schnellen Freigabe und Konsultation des Eckpunktepapiers; Qualitätssicherung von Vorschlägen für nachgelagerte Arbeitspakete</t>
  </si>
  <si>
    <t>Ausarbeitung der Zuordnungstabelle Organisationseinheiten/GAF/Detailprozesse</t>
  </si>
  <si>
    <t>MA neu</t>
  </si>
  <si>
    <t>Aufgabe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</si>
</sst>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44" formatCode="_-* #,##0.00\ &quot;€&quot;_-;\-* #,##0.00\ &quot;€&quot;_-;_-* &quot;-&quot;??\ &quot;€&quot;_-;_-@_-"/>
  </numFmts>
  <fonts count="1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</fonts>
  <fills count="36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8" tint="0.399975585192419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7C80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3">
    <xf numFmtId="0" fontId="0" fillId="0" borderId="0"/>
    <xf numFmtId="44" fontId="1" fillId="0" borderId="0" applyFont="0" applyFill="0" applyBorder="0" applyAlignment="0" applyProtection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</cellStyleXfs>
  <cellXfs count="16">
    <xf numFmtId="0" fontId="0" fillId="0" borderId="0" xfId="0"/>
    <xf numFmtId="14" fontId="0" fillId="0" borderId="0" xfId="0" applyNumberFormat="1"/>
    <xf numFmtId="20" fontId="0" fillId="0" borderId="0" xfId="0" applyNumberFormat="1"/>
    <xf numFmtId="0" fontId="0" fillId="33" borderId="0" xfId="0" applyFill="1"/>
    <xf numFmtId="44" fontId="0" fillId="0" borderId="0" xfId="1" applyFont="1"/>
    <xf numFmtId="2" fontId="0" fillId="0" borderId="0" xfId="0" applyNumberFormat="1"/>
    <xf numFmtId="0" fontId="0" fillId="34" borderId="0" xfId="0" applyFill="1"/>
    <xf numFmtId="2" fontId="0" fillId="34" borderId="0" xfId="0" applyNumberFormat="1" applyFill="1"/>
    <xf numFmtId="2" fontId="0" fillId="0" borderId="0" xfId="0" applyNumberFormat="1" applyFill="1"/>
    <xf numFmtId="2" fontId="0" fillId="35" borderId="0" xfId="0" applyNumberFormat="1" applyFill="1"/>
    <xf numFmtId="0" fontId="0" fillId="35" borderId="0" xfId="0" applyFill="1"/>
    <xf numFmtId="14" fontId="0" fillId="35" borderId="0" xfId="0" applyNumberFormat="1" applyFill="1"/>
    <xf numFmtId="20" fontId="0" fillId="35" borderId="0" xfId="0" applyNumberFormat="1" applyFill="1"/>
    <xf numFmtId="44" fontId="0" fillId="35" borderId="0" xfId="1" applyFont="1" applyFill="1"/>
    <xf numFmtId="0" fontId="14" fillId="34" borderId="0" xfId="0" applyFont="1" applyFill="1"/>
    <xf numFmtId="20" fontId="0" fillId="34" borderId="0" xfId="0" applyNumberFormat="1" applyFill="1"/>
  </cellXfs>
  <cellStyles count="43">
    <cellStyle name="20 % - Akzent1" xfId="20" builtinId="30" customBuiltin="1"/>
    <cellStyle name="20 % - Akzent2" xfId="24" builtinId="34" customBuiltin="1"/>
    <cellStyle name="20 % - Akzent3" xfId="28" builtinId="38" customBuiltin="1"/>
    <cellStyle name="20 % - Akzent4" xfId="32" builtinId="42" customBuiltin="1"/>
    <cellStyle name="20 % - Akzent5" xfId="36" builtinId="46" customBuiltin="1"/>
    <cellStyle name="20 % - Akzent6" xfId="40" builtinId="50" customBuiltin="1"/>
    <cellStyle name="40 % - Akzent1" xfId="21" builtinId="31" customBuiltin="1"/>
    <cellStyle name="40 % - Akzent2" xfId="25" builtinId="35" customBuiltin="1"/>
    <cellStyle name="40 % - Akzent3" xfId="29" builtinId="39" customBuiltin="1"/>
    <cellStyle name="40 % - Akzent4" xfId="33" builtinId="43" customBuiltin="1"/>
    <cellStyle name="40 % - Akzent5" xfId="37" builtinId="47" customBuiltin="1"/>
    <cellStyle name="40 % - Akzent6" xfId="41" builtinId="51" customBuiltin="1"/>
    <cellStyle name="60 % - Akzent1" xfId="22" builtinId="32" customBuiltin="1"/>
    <cellStyle name="60 % - Akzent2" xfId="26" builtinId="36" customBuiltin="1"/>
    <cellStyle name="60 % - Akzent3" xfId="30" builtinId="40" customBuiltin="1"/>
    <cellStyle name="60 % - Akzent4" xfId="34" builtinId="44" customBuiltin="1"/>
    <cellStyle name="60 % - Akzent5" xfId="38" builtinId="48" customBuiltin="1"/>
    <cellStyle name="60 % - Akzent6" xfId="42" builtinId="52" customBuiltin="1"/>
    <cellStyle name="Akzent1" xfId="19" builtinId="29" customBuiltin="1"/>
    <cellStyle name="Akzent2" xfId="23" builtinId="33" customBuiltin="1"/>
    <cellStyle name="Akzent3" xfId="27" builtinId="37" customBuiltin="1"/>
    <cellStyle name="Akzent4" xfId="31" builtinId="41" customBuiltin="1"/>
    <cellStyle name="Akzent5" xfId="35" builtinId="45" customBuiltin="1"/>
    <cellStyle name="Akzent6" xfId="39" builtinId="49" customBuiltin="1"/>
    <cellStyle name="Ausgabe" xfId="11" builtinId="21" customBuiltin="1"/>
    <cellStyle name="Berechnung" xfId="12" builtinId="22" customBuiltin="1"/>
    <cellStyle name="Eingabe" xfId="10" builtinId="20" customBuiltin="1"/>
    <cellStyle name="Ergebnis" xfId="18" builtinId="25" customBuiltin="1"/>
    <cellStyle name="Erklärender Text" xfId="17" builtinId="53" customBuiltin="1"/>
    <cellStyle name="Gut" xfId="7" builtinId="26" customBuiltin="1"/>
    <cellStyle name="Neutral" xfId="9" builtinId="28" customBuiltin="1"/>
    <cellStyle name="Notiz" xfId="16" builtinId="10" customBuiltin="1"/>
    <cellStyle name="Schlecht" xfId="8" builtinId="27" customBuiltin="1"/>
    <cellStyle name="Standard" xfId="0" builtinId="0"/>
    <cellStyle name="Überschrift" xfId="2" builtinId="15" customBuiltin="1"/>
    <cellStyle name="Überschrift 1" xfId="3" builtinId="16" customBuiltin="1"/>
    <cellStyle name="Überschrift 2" xfId="4" builtinId="17" customBuiltin="1"/>
    <cellStyle name="Überschrift 3" xfId="5" builtinId="18" customBuiltin="1"/>
    <cellStyle name="Überschrift 4" xfId="6" builtinId="19" customBuiltin="1"/>
    <cellStyle name="Verknüpfte Zelle" xfId="13" builtinId="24" customBuiltin="1"/>
    <cellStyle name="Währung" xfId="1" builtinId="4"/>
    <cellStyle name="Warnender Text" xfId="15" builtinId="11" customBuiltin="1"/>
    <cellStyle name="Zelle überprüfen" xfId="14" builtinId="23" customBuiltin="1"/>
  </cellStyles>
  <dxfs count="0"/>
  <tableStyles count="0" defaultTableStyle="TableStyleMedium2" defaultPivotStyle="PivotStyleLight16"/>
  <colors>
    <mruColors>
      <color rgb="FFFF7C8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O74"/>
  <sheetViews>
    <sheetView tabSelected="1" zoomScaleNormal="100" workbookViewId="0">
      <selection activeCell="E2" sqref="E2"/>
    </sheetView>
  </sheetViews>
  <sheetFormatPr baseColWidth="10" defaultRowHeight="15" x14ac:dyDescent="0.25"/>
  <cols>
    <col min="1" max="1" width="22.7109375" customWidth="1"/>
    <col min="2" max="2" width="0" hidden="1" customWidth="1"/>
    <col min="3" max="3" width="18.28515625" customWidth="1"/>
    <col min="6" max="6" width="13.85546875" customWidth="1"/>
    <col min="7" max="7" width="50" customWidth="1"/>
    <col min="9" max="9" width="8.28515625" customWidth="1"/>
    <col min="10" max="10" width="10.140625" customWidth="1"/>
    <col min="11" max="11" width="8.28515625" customWidth="1"/>
    <col min="12" max="12" width="10.7109375" hidden="1" customWidth="1"/>
    <col min="13" max="13" width="11.7109375" hidden="1" customWidth="1"/>
    <col min="14" max="14" width="11.7109375" bestFit="1" customWidth="1"/>
  </cols>
  <sheetData>
    <row r="1" spans="1:14" x14ac:dyDescent="0.25">
      <c r="A1" s="3" t="s">
        <v>0</v>
      </c>
      <c r="B1" s="3" t="s">
        <v>1</v>
      </c>
      <c r="C1" s="3" t="s">
        <v>89</v>
      </c>
      <c r="D1" s="3" t="s">
        <v>2</v>
      </c>
      <c r="E1" s="3" t="s">
        <v>3</v>
      </c>
      <c r="F1" s="3" t="s">
        <v>90</v>
      </c>
      <c r="G1" s="3" t="s">
        <v>4</v>
      </c>
      <c r="H1" s="3" t="s">
        <v>5</v>
      </c>
      <c r="I1" s="3" t="s">
        <v>6</v>
      </c>
      <c r="J1" s="3" t="s">
        <v>7</v>
      </c>
      <c r="K1" s="3" t="s">
        <v>8</v>
      </c>
      <c r="L1" s="3" t="s">
        <v>9</v>
      </c>
      <c r="M1" s="3" t="s">
        <v>10</v>
      </c>
      <c r="N1" s="3" t="s">
        <v>11</v>
      </c>
    </row>
    <row r="2" spans="1:14" x14ac:dyDescent="0.25">
      <c r="A2" t="s">
        <v>39</v>
      </c>
      <c r="B2" t="s">
        <v>35</v>
      </c>
      <c r="C2" t="s">
        <v>39</v>
      </c>
      <c r="D2" t="s">
        <v>14</v>
      </c>
      <c r="E2" t="s">
        <v>20</v>
      </c>
      <c r="F2" t="s">
        <v>36</v>
      </c>
      <c r="G2" t="s">
        <v>43</v>
      </c>
      <c r="H2" s="1">
        <v>42522</v>
      </c>
      <c r="I2" s="5">
        <v>5.75</v>
      </c>
      <c r="J2" s="2">
        <v>0.55208333333333337</v>
      </c>
      <c r="K2" s="2">
        <v>0.79166666666666663</v>
      </c>
      <c r="L2">
        <v>80</v>
      </c>
      <c r="M2" s="4">
        <v>460</v>
      </c>
      <c r="N2" s="4">
        <f>I2*85</f>
        <v>488.75</v>
      </c>
    </row>
    <row r="3" spans="1:14" x14ac:dyDescent="0.25">
      <c r="A3" t="s">
        <v>39</v>
      </c>
      <c r="B3" t="s">
        <v>35</v>
      </c>
      <c r="C3" t="s">
        <v>39</v>
      </c>
      <c r="D3" t="s">
        <v>14</v>
      </c>
      <c r="E3" t="s">
        <v>20</v>
      </c>
      <c r="F3" t="s">
        <v>36</v>
      </c>
      <c r="G3" t="s">
        <v>44</v>
      </c>
      <c r="H3" s="1">
        <v>42522</v>
      </c>
      <c r="I3" s="5">
        <v>3</v>
      </c>
      <c r="J3" s="2">
        <v>0.375</v>
      </c>
      <c r="K3" s="2">
        <v>0.5</v>
      </c>
      <c r="L3">
        <v>80</v>
      </c>
      <c r="M3" s="4">
        <v>240</v>
      </c>
      <c r="N3" s="4">
        <f t="shared" ref="N3:N5" si="0">I3*85</f>
        <v>255</v>
      </c>
    </row>
    <row r="4" spans="1:14" x14ac:dyDescent="0.25">
      <c r="A4" s="10" t="s">
        <v>34</v>
      </c>
      <c r="B4" s="10" t="s">
        <v>35</v>
      </c>
      <c r="C4" s="10" t="s">
        <v>34</v>
      </c>
      <c r="D4" s="10" t="s">
        <v>14</v>
      </c>
      <c r="E4" s="10" t="s">
        <v>20</v>
      </c>
      <c r="F4" s="10" t="s">
        <v>36</v>
      </c>
      <c r="G4" s="10" t="s">
        <v>37</v>
      </c>
      <c r="H4" s="11">
        <v>42522</v>
      </c>
      <c r="I4" s="9"/>
      <c r="J4" s="12">
        <v>0.39583333333333331</v>
      </c>
      <c r="K4" s="12">
        <v>0.5</v>
      </c>
      <c r="L4" s="10">
        <v>70</v>
      </c>
      <c r="M4" s="13">
        <v>175</v>
      </c>
      <c r="N4" s="13"/>
    </row>
    <row r="5" spans="1:14" x14ac:dyDescent="0.25">
      <c r="A5" t="s">
        <v>34</v>
      </c>
      <c r="B5" t="s">
        <v>35</v>
      </c>
      <c r="C5" t="s">
        <v>34</v>
      </c>
      <c r="D5" t="s">
        <v>14</v>
      </c>
      <c r="E5" t="s">
        <v>20</v>
      </c>
      <c r="F5" t="s">
        <v>36</v>
      </c>
      <c r="G5" t="s">
        <v>37</v>
      </c>
      <c r="H5" s="1">
        <v>42522</v>
      </c>
      <c r="I5" s="5">
        <v>5.75</v>
      </c>
      <c r="J5" s="2">
        <v>0.54166666666666663</v>
      </c>
      <c r="K5" s="2">
        <v>0.78125</v>
      </c>
      <c r="L5">
        <v>70</v>
      </c>
      <c r="M5" s="4">
        <v>402.5</v>
      </c>
      <c r="N5" s="4">
        <f t="shared" si="0"/>
        <v>488.75</v>
      </c>
    </row>
    <row r="6" spans="1:14" x14ac:dyDescent="0.25">
      <c r="A6" t="s">
        <v>12</v>
      </c>
      <c r="B6" t="s">
        <v>19</v>
      </c>
      <c r="C6" t="s">
        <v>12</v>
      </c>
      <c r="D6" t="s">
        <v>14</v>
      </c>
      <c r="E6" t="s">
        <v>20</v>
      </c>
      <c r="F6" t="s">
        <v>16</v>
      </c>
      <c r="G6" t="s">
        <v>21</v>
      </c>
      <c r="H6" s="1">
        <v>42522</v>
      </c>
      <c r="I6" s="5">
        <v>4</v>
      </c>
      <c r="J6" s="2">
        <v>0.375</v>
      </c>
      <c r="K6" s="2">
        <v>0.54166666666666663</v>
      </c>
      <c r="L6">
        <v>100</v>
      </c>
      <c r="M6" s="4">
        <v>400</v>
      </c>
      <c r="N6" s="4">
        <f>I6*112.5</f>
        <v>450</v>
      </c>
    </row>
    <row r="7" spans="1:14" x14ac:dyDescent="0.25">
      <c r="A7" t="s">
        <v>39</v>
      </c>
      <c r="B7" t="s">
        <v>35</v>
      </c>
      <c r="C7" s="14" t="s">
        <v>31</v>
      </c>
      <c r="D7" t="s">
        <v>14</v>
      </c>
      <c r="E7" t="s">
        <v>20</v>
      </c>
      <c r="F7" s="14" t="s">
        <v>16</v>
      </c>
      <c r="G7" t="s">
        <v>40</v>
      </c>
      <c r="H7" s="1">
        <v>42523</v>
      </c>
      <c r="I7" s="7">
        <v>4</v>
      </c>
      <c r="J7" s="2">
        <v>0.54166666666666663</v>
      </c>
      <c r="K7" s="2">
        <v>0.70833333333333337</v>
      </c>
      <c r="L7">
        <v>80</v>
      </c>
      <c r="M7" s="4">
        <v>320</v>
      </c>
      <c r="N7" s="4">
        <f>I7*112.5</f>
        <v>450</v>
      </c>
    </row>
    <row r="8" spans="1:14" x14ac:dyDescent="0.25">
      <c r="A8" t="s">
        <v>39</v>
      </c>
      <c r="B8" t="s">
        <v>35</v>
      </c>
      <c r="C8" t="s">
        <v>39</v>
      </c>
      <c r="D8" t="s">
        <v>14</v>
      </c>
      <c r="E8" t="s">
        <v>20</v>
      </c>
      <c r="F8" t="s">
        <v>36</v>
      </c>
      <c r="G8" t="s">
        <v>41</v>
      </c>
      <c r="H8" s="1">
        <v>42523</v>
      </c>
      <c r="I8" s="5">
        <v>3.25</v>
      </c>
      <c r="J8" s="2">
        <v>0.70833333333333337</v>
      </c>
      <c r="K8" s="2">
        <v>0.84375</v>
      </c>
      <c r="L8">
        <v>80</v>
      </c>
      <c r="M8" s="4">
        <v>260</v>
      </c>
      <c r="N8" s="4">
        <f t="shared" ref="N8:N9" si="1">I8*85</f>
        <v>276.25</v>
      </c>
    </row>
    <row r="9" spans="1:14" x14ac:dyDescent="0.25">
      <c r="A9" t="s">
        <v>39</v>
      </c>
      <c r="B9" t="s">
        <v>35</v>
      </c>
      <c r="C9" t="s">
        <v>39</v>
      </c>
      <c r="D9" t="s">
        <v>14</v>
      </c>
      <c r="E9" t="s">
        <v>20</v>
      </c>
      <c r="F9" t="s">
        <v>36</v>
      </c>
      <c r="G9" t="s">
        <v>42</v>
      </c>
      <c r="H9" s="1">
        <v>42523</v>
      </c>
      <c r="I9" s="5">
        <v>4</v>
      </c>
      <c r="J9" s="2">
        <v>0.33333333333333331</v>
      </c>
      <c r="K9" s="2">
        <v>0.5</v>
      </c>
      <c r="L9">
        <v>80</v>
      </c>
      <c r="M9" s="4">
        <v>320</v>
      </c>
      <c r="N9" s="4">
        <f t="shared" si="1"/>
        <v>340</v>
      </c>
    </row>
    <row r="10" spans="1:14" x14ac:dyDescent="0.25">
      <c r="A10" t="s">
        <v>12</v>
      </c>
      <c r="B10" t="s">
        <v>19</v>
      </c>
      <c r="C10" t="s">
        <v>12</v>
      </c>
      <c r="D10" t="s">
        <v>14</v>
      </c>
      <c r="E10" t="s">
        <v>20</v>
      </c>
      <c r="F10" t="s">
        <v>16</v>
      </c>
      <c r="G10" t="s">
        <v>22</v>
      </c>
      <c r="H10" s="1">
        <v>42523</v>
      </c>
      <c r="I10" s="5">
        <v>9</v>
      </c>
      <c r="J10" s="2">
        <v>0.33333333333333331</v>
      </c>
      <c r="K10" s="2">
        <v>0.70833333333333337</v>
      </c>
      <c r="L10">
        <v>100</v>
      </c>
      <c r="M10" s="4">
        <v>900</v>
      </c>
      <c r="N10" s="4">
        <f t="shared" ref="N10:N13" si="2">I10*112.5</f>
        <v>1012.5</v>
      </c>
    </row>
    <row r="11" spans="1:14" x14ac:dyDescent="0.25">
      <c r="A11" s="6" t="s">
        <v>23</v>
      </c>
      <c r="B11" t="s">
        <v>19</v>
      </c>
      <c r="C11" s="14" t="s">
        <v>31</v>
      </c>
      <c r="D11" t="s">
        <v>14</v>
      </c>
      <c r="E11" t="s">
        <v>20</v>
      </c>
      <c r="F11" t="s">
        <v>16</v>
      </c>
      <c r="G11" t="s">
        <v>24</v>
      </c>
      <c r="H11" s="1">
        <v>42523</v>
      </c>
      <c r="I11" s="5">
        <v>4</v>
      </c>
      <c r="J11" s="2">
        <v>0.375</v>
      </c>
      <c r="K11" s="2">
        <v>0.54166666666666663</v>
      </c>
      <c r="L11">
        <v>80</v>
      </c>
      <c r="M11" s="4">
        <v>320</v>
      </c>
      <c r="N11" s="4">
        <f t="shared" si="2"/>
        <v>450</v>
      </c>
    </row>
    <row r="12" spans="1:14" x14ac:dyDescent="0.25">
      <c r="A12" s="6" t="s">
        <v>39</v>
      </c>
      <c r="B12" t="s">
        <v>35</v>
      </c>
      <c r="C12" s="14" t="s">
        <v>31</v>
      </c>
      <c r="D12" t="s">
        <v>14</v>
      </c>
      <c r="E12" t="s">
        <v>20</v>
      </c>
      <c r="F12" s="14" t="s">
        <v>16</v>
      </c>
      <c r="G12" s="6" t="s">
        <v>46</v>
      </c>
      <c r="H12" s="1">
        <v>42524</v>
      </c>
      <c r="I12" s="7">
        <v>1</v>
      </c>
      <c r="J12" s="2">
        <v>0.54166666666666663</v>
      </c>
      <c r="K12" s="2">
        <v>0.58333333333333337</v>
      </c>
      <c r="L12">
        <v>80</v>
      </c>
      <c r="M12" s="4">
        <v>80</v>
      </c>
      <c r="N12" s="4">
        <f t="shared" si="2"/>
        <v>112.5</v>
      </c>
    </row>
    <row r="13" spans="1:14" x14ac:dyDescent="0.25">
      <c r="A13" s="6" t="s">
        <v>39</v>
      </c>
      <c r="B13" t="s">
        <v>35</v>
      </c>
      <c r="C13" s="14" t="s">
        <v>31</v>
      </c>
      <c r="D13" t="s">
        <v>14</v>
      </c>
      <c r="E13" t="s">
        <v>20</v>
      </c>
      <c r="F13" s="14" t="s">
        <v>16</v>
      </c>
      <c r="G13" t="s">
        <v>46</v>
      </c>
      <c r="H13" s="1">
        <v>42524</v>
      </c>
      <c r="I13" s="7">
        <v>0.75</v>
      </c>
      <c r="J13" s="2">
        <v>0.70833333333333337</v>
      </c>
      <c r="K13" s="2">
        <v>0.73958333333333337</v>
      </c>
      <c r="L13">
        <v>80</v>
      </c>
      <c r="M13" s="4">
        <v>60</v>
      </c>
      <c r="N13" s="4">
        <f t="shared" si="2"/>
        <v>84.375</v>
      </c>
    </row>
    <row r="14" spans="1:14" x14ac:dyDescent="0.25">
      <c r="A14" s="10" t="s">
        <v>39</v>
      </c>
      <c r="B14" s="10" t="s">
        <v>35</v>
      </c>
      <c r="C14" s="10" t="s">
        <v>39</v>
      </c>
      <c r="D14" s="10" t="s">
        <v>14</v>
      </c>
      <c r="E14" s="10" t="s">
        <v>20</v>
      </c>
      <c r="F14" s="10" t="s">
        <v>36</v>
      </c>
      <c r="G14" s="10" t="s">
        <v>45</v>
      </c>
      <c r="H14" s="11">
        <v>42524</v>
      </c>
      <c r="I14" s="9"/>
      <c r="J14" s="12">
        <v>0.625</v>
      </c>
      <c r="K14" s="12">
        <v>0.66666666666666663</v>
      </c>
      <c r="L14" s="10">
        <v>80</v>
      </c>
      <c r="M14" s="13">
        <v>80</v>
      </c>
      <c r="N14" s="13"/>
    </row>
    <row r="15" spans="1:14" x14ac:dyDescent="0.25">
      <c r="A15" t="s">
        <v>39</v>
      </c>
      <c r="B15" t="s">
        <v>35</v>
      </c>
      <c r="C15" t="s">
        <v>39</v>
      </c>
      <c r="D15" t="s">
        <v>14</v>
      </c>
      <c r="E15" t="s">
        <v>20</v>
      </c>
      <c r="F15" t="s">
        <v>36</v>
      </c>
      <c r="G15" t="s">
        <v>47</v>
      </c>
      <c r="H15" s="1">
        <v>42524</v>
      </c>
      <c r="I15" s="5">
        <v>1</v>
      </c>
      <c r="J15" s="2">
        <v>0.35416666666666669</v>
      </c>
      <c r="K15" s="2">
        <v>0.39583333333333331</v>
      </c>
      <c r="L15">
        <v>80</v>
      </c>
      <c r="M15" s="4">
        <v>80</v>
      </c>
      <c r="N15" s="4">
        <f t="shared" ref="N15" si="3">I15*85</f>
        <v>85</v>
      </c>
    </row>
    <row r="16" spans="1:14" x14ac:dyDescent="0.25">
      <c r="A16" s="6" t="s">
        <v>34</v>
      </c>
      <c r="B16" t="s">
        <v>35</v>
      </c>
      <c r="C16" s="14" t="s">
        <v>31</v>
      </c>
      <c r="D16" t="s">
        <v>14</v>
      </c>
      <c r="E16" t="s">
        <v>20</v>
      </c>
      <c r="F16" s="14" t="s">
        <v>16</v>
      </c>
      <c r="G16" t="s">
        <v>38</v>
      </c>
      <c r="H16" s="1">
        <v>42524</v>
      </c>
      <c r="I16" s="7">
        <v>6</v>
      </c>
      <c r="J16" s="2">
        <v>0.54166666666666663</v>
      </c>
      <c r="K16" s="2">
        <v>0.79166666666666663</v>
      </c>
      <c r="L16">
        <v>70</v>
      </c>
      <c r="M16" s="4">
        <v>420</v>
      </c>
      <c r="N16" s="4">
        <f>I16*112.5</f>
        <v>675</v>
      </c>
    </row>
    <row r="17" spans="1:14" x14ac:dyDescent="0.25">
      <c r="A17" t="s">
        <v>12</v>
      </c>
      <c r="B17" t="s">
        <v>19</v>
      </c>
      <c r="C17" t="s">
        <v>12</v>
      </c>
      <c r="D17" t="s">
        <v>14</v>
      </c>
      <c r="E17" t="s">
        <v>20</v>
      </c>
      <c r="F17" t="s">
        <v>16</v>
      </c>
      <c r="G17" t="s">
        <v>25</v>
      </c>
      <c r="H17" s="1">
        <v>42525</v>
      </c>
      <c r="I17" s="5">
        <v>4</v>
      </c>
      <c r="J17" s="2">
        <v>0.375</v>
      </c>
      <c r="K17" s="2">
        <v>0.54166666666666663</v>
      </c>
      <c r="L17">
        <v>100</v>
      </c>
      <c r="M17" s="4">
        <v>400</v>
      </c>
      <c r="N17" s="4">
        <f t="shared" ref="N17:N21" si="4">I17*112.5</f>
        <v>450</v>
      </c>
    </row>
    <row r="18" spans="1:14" x14ac:dyDescent="0.25">
      <c r="A18" t="s">
        <v>12</v>
      </c>
      <c r="B18" t="s">
        <v>19</v>
      </c>
      <c r="C18" t="s">
        <v>12</v>
      </c>
      <c r="D18" t="s">
        <v>14</v>
      </c>
      <c r="E18" t="s">
        <v>20</v>
      </c>
      <c r="F18" t="s">
        <v>16</v>
      </c>
      <c r="G18" t="s">
        <v>26</v>
      </c>
      <c r="H18" s="1">
        <v>42527</v>
      </c>
      <c r="I18" s="5">
        <v>10</v>
      </c>
      <c r="J18" s="2">
        <v>0.33333333333333331</v>
      </c>
      <c r="K18" s="2">
        <v>0.75</v>
      </c>
      <c r="L18">
        <v>100</v>
      </c>
      <c r="M18" s="4">
        <v>1000</v>
      </c>
      <c r="N18" s="4">
        <f t="shared" si="4"/>
        <v>1125</v>
      </c>
    </row>
    <row r="19" spans="1:14" x14ac:dyDescent="0.25">
      <c r="A19" t="s">
        <v>12</v>
      </c>
      <c r="B19" t="s">
        <v>19</v>
      </c>
      <c r="C19" t="s">
        <v>12</v>
      </c>
      <c r="D19" t="s">
        <v>14</v>
      </c>
      <c r="E19" t="s">
        <v>20</v>
      </c>
      <c r="F19" t="s">
        <v>16</v>
      </c>
      <c r="G19" t="s">
        <v>27</v>
      </c>
      <c r="H19" s="1">
        <v>42528</v>
      </c>
      <c r="I19" s="5">
        <v>5</v>
      </c>
      <c r="J19" s="2">
        <v>0.33333333333333331</v>
      </c>
      <c r="K19" s="2">
        <v>0.54166666666666663</v>
      </c>
      <c r="L19">
        <v>100</v>
      </c>
      <c r="M19" s="4">
        <v>500</v>
      </c>
      <c r="N19" s="4">
        <f t="shared" si="4"/>
        <v>562.5</v>
      </c>
    </row>
    <row r="20" spans="1:14" x14ac:dyDescent="0.25">
      <c r="A20" t="s">
        <v>12</v>
      </c>
      <c r="B20" t="s">
        <v>19</v>
      </c>
      <c r="C20" t="s">
        <v>12</v>
      </c>
      <c r="D20" t="s">
        <v>14</v>
      </c>
      <c r="E20" t="s">
        <v>20</v>
      </c>
      <c r="F20" t="s">
        <v>16</v>
      </c>
      <c r="G20" t="s">
        <v>28</v>
      </c>
      <c r="H20" s="1">
        <v>42528</v>
      </c>
      <c r="I20" s="5">
        <v>2</v>
      </c>
      <c r="J20" s="2">
        <v>0.58333333333333337</v>
      </c>
      <c r="K20" s="2">
        <v>0.66666666666666663</v>
      </c>
      <c r="L20">
        <v>100</v>
      </c>
      <c r="M20" s="4">
        <v>200</v>
      </c>
      <c r="N20" s="4">
        <f t="shared" si="4"/>
        <v>225</v>
      </c>
    </row>
    <row r="21" spans="1:14" x14ac:dyDescent="0.25">
      <c r="A21" t="s">
        <v>12</v>
      </c>
      <c r="B21" t="s">
        <v>19</v>
      </c>
      <c r="C21" t="s">
        <v>12</v>
      </c>
      <c r="D21" t="s">
        <v>14</v>
      </c>
      <c r="E21" t="s">
        <v>20</v>
      </c>
      <c r="F21" t="s">
        <v>16</v>
      </c>
      <c r="G21" t="s">
        <v>29</v>
      </c>
      <c r="H21" s="1">
        <v>42529</v>
      </c>
      <c r="I21" s="5">
        <v>3</v>
      </c>
      <c r="J21" s="2">
        <v>0.375</v>
      </c>
      <c r="K21" s="2">
        <v>0.5</v>
      </c>
      <c r="L21">
        <v>100</v>
      </c>
      <c r="M21" s="4">
        <v>300</v>
      </c>
      <c r="N21" s="4">
        <f t="shared" si="4"/>
        <v>337.5</v>
      </c>
    </row>
    <row r="22" spans="1:14" x14ac:dyDescent="0.25">
      <c r="A22" s="6" t="s">
        <v>23</v>
      </c>
      <c r="B22" t="s">
        <v>19</v>
      </c>
      <c r="C22" s="14" t="s">
        <v>31</v>
      </c>
      <c r="D22" t="s">
        <v>14</v>
      </c>
      <c r="E22" t="s">
        <v>20</v>
      </c>
      <c r="F22" t="s">
        <v>16</v>
      </c>
      <c r="G22" t="s">
        <v>24</v>
      </c>
      <c r="H22" s="1">
        <v>42529</v>
      </c>
      <c r="I22" s="5">
        <v>4</v>
      </c>
      <c r="J22" s="2">
        <v>0.54166666666666663</v>
      </c>
      <c r="K22" s="2">
        <v>0.70833333333333337</v>
      </c>
      <c r="L22">
        <v>80</v>
      </c>
      <c r="M22" s="4">
        <v>320</v>
      </c>
      <c r="N22" s="4">
        <f>I22*112.5</f>
        <v>450</v>
      </c>
    </row>
    <row r="23" spans="1:14" x14ac:dyDescent="0.25">
      <c r="A23" t="s">
        <v>31</v>
      </c>
      <c r="B23" t="s">
        <v>19</v>
      </c>
      <c r="C23" t="s">
        <v>31</v>
      </c>
      <c r="D23" t="s">
        <v>14</v>
      </c>
      <c r="E23" t="s">
        <v>20</v>
      </c>
      <c r="F23" t="s">
        <v>16</v>
      </c>
      <c r="G23" t="s">
        <v>32</v>
      </c>
      <c r="H23" s="1">
        <v>42531</v>
      </c>
      <c r="I23" s="5">
        <v>2.5</v>
      </c>
      <c r="J23" s="2">
        <v>0.35416666666666669</v>
      </c>
      <c r="K23" s="2">
        <v>0.45833333333333331</v>
      </c>
      <c r="L23">
        <v>100</v>
      </c>
      <c r="M23" s="4">
        <v>250</v>
      </c>
      <c r="N23" s="4">
        <f>I23*112.5</f>
        <v>281.25</v>
      </c>
    </row>
    <row r="24" spans="1:14" x14ac:dyDescent="0.25">
      <c r="A24" t="s">
        <v>34</v>
      </c>
      <c r="B24" t="s">
        <v>35</v>
      </c>
      <c r="C24" t="s">
        <v>34</v>
      </c>
      <c r="D24" t="s">
        <v>14</v>
      </c>
      <c r="E24" t="s">
        <v>20</v>
      </c>
      <c r="F24" t="s">
        <v>36</v>
      </c>
      <c r="G24" t="s">
        <v>48</v>
      </c>
      <c r="H24" s="1">
        <v>42531</v>
      </c>
      <c r="I24" s="5">
        <v>3</v>
      </c>
      <c r="J24" s="2">
        <v>0.375</v>
      </c>
      <c r="K24" s="2">
        <v>0.5</v>
      </c>
      <c r="L24">
        <v>70</v>
      </c>
      <c r="M24" s="4">
        <v>210</v>
      </c>
      <c r="N24" s="4">
        <f t="shared" ref="N24" si="5">I24*85</f>
        <v>255</v>
      </c>
    </row>
    <row r="25" spans="1:14" x14ac:dyDescent="0.25">
      <c r="A25" s="10" t="s">
        <v>34</v>
      </c>
      <c r="B25" s="10" t="s">
        <v>35</v>
      </c>
      <c r="C25" s="10" t="s">
        <v>34</v>
      </c>
      <c r="D25" s="10" t="s">
        <v>14</v>
      </c>
      <c r="E25" s="10" t="s">
        <v>20</v>
      </c>
      <c r="F25" s="10" t="s">
        <v>36</v>
      </c>
      <c r="G25" s="10" t="s">
        <v>48</v>
      </c>
      <c r="H25" s="11">
        <v>42531</v>
      </c>
      <c r="I25" s="9"/>
      <c r="J25" s="12">
        <v>0.53125</v>
      </c>
      <c r="K25" s="12">
        <v>0.72916666666666663</v>
      </c>
      <c r="L25" s="10">
        <v>70</v>
      </c>
      <c r="M25" s="13">
        <v>332.5</v>
      </c>
      <c r="N25" s="13"/>
    </row>
    <row r="26" spans="1:14" x14ac:dyDescent="0.25">
      <c r="A26" t="s">
        <v>12</v>
      </c>
      <c r="B26" t="s">
        <v>19</v>
      </c>
      <c r="C26" t="s">
        <v>12</v>
      </c>
      <c r="D26" t="s">
        <v>14</v>
      </c>
      <c r="E26" t="s">
        <v>20</v>
      </c>
      <c r="F26" t="s">
        <v>16</v>
      </c>
      <c r="G26" t="s">
        <v>30</v>
      </c>
      <c r="H26" s="1">
        <v>42531</v>
      </c>
      <c r="I26" s="5">
        <v>9.5</v>
      </c>
      <c r="J26" s="2">
        <v>0.375</v>
      </c>
      <c r="K26" s="2">
        <v>0.77083333333333337</v>
      </c>
      <c r="L26">
        <v>100</v>
      </c>
      <c r="M26" s="4">
        <v>950</v>
      </c>
      <c r="N26" s="4">
        <f>I26*112.5</f>
        <v>1068.75</v>
      </c>
    </row>
    <row r="27" spans="1:14" x14ac:dyDescent="0.25">
      <c r="A27" t="s">
        <v>31</v>
      </c>
      <c r="B27" t="s">
        <v>19</v>
      </c>
      <c r="C27" t="s">
        <v>31</v>
      </c>
      <c r="D27" t="s">
        <v>14</v>
      </c>
      <c r="E27" t="s">
        <v>20</v>
      </c>
      <c r="F27" t="s">
        <v>16</v>
      </c>
      <c r="G27" t="s">
        <v>33</v>
      </c>
      <c r="H27" s="1">
        <v>42534</v>
      </c>
      <c r="I27" s="5">
        <v>2.5</v>
      </c>
      <c r="J27" s="2">
        <v>0.52083333333333337</v>
      </c>
      <c r="K27" s="2">
        <v>0.625</v>
      </c>
      <c r="L27">
        <v>100</v>
      </c>
      <c r="M27" s="4">
        <v>250</v>
      </c>
      <c r="N27" s="4">
        <f t="shared" ref="N27:N28" si="6">I27*112.5</f>
        <v>281.25</v>
      </c>
    </row>
    <row r="28" spans="1:14" x14ac:dyDescent="0.25">
      <c r="A28" t="s">
        <v>31</v>
      </c>
      <c r="B28" t="s">
        <v>19</v>
      </c>
      <c r="C28" t="s">
        <v>31</v>
      </c>
      <c r="D28" t="s">
        <v>14</v>
      </c>
      <c r="E28" t="s">
        <v>20</v>
      </c>
      <c r="F28" t="s">
        <v>16</v>
      </c>
      <c r="G28" t="s">
        <v>49</v>
      </c>
      <c r="H28" s="1">
        <v>42534</v>
      </c>
      <c r="I28" s="8">
        <v>2.5</v>
      </c>
      <c r="J28" s="2">
        <v>0.375</v>
      </c>
      <c r="K28" s="2">
        <v>0.47916666666666669</v>
      </c>
      <c r="L28">
        <v>100</v>
      </c>
      <c r="M28" s="4">
        <v>250</v>
      </c>
      <c r="N28" s="4">
        <f t="shared" si="6"/>
        <v>281.25</v>
      </c>
    </row>
    <row r="29" spans="1:14" x14ac:dyDescent="0.25">
      <c r="A29" t="s">
        <v>39</v>
      </c>
      <c r="B29" t="s">
        <v>35</v>
      </c>
      <c r="C29" t="s">
        <v>39</v>
      </c>
      <c r="D29" t="s">
        <v>14</v>
      </c>
      <c r="E29" t="s">
        <v>20</v>
      </c>
      <c r="F29" t="s">
        <v>36</v>
      </c>
      <c r="G29" t="s">
        <v>53</v>
      </c>
      <c r="H29" s="1">
        <v>42534</v>
      </c>
      <c r="I29" s="5">
        <v>2.5</v>
      </c>
      <c r="J29" s="2">
        <v>0.58333333333333337</v>
      </c>
      <c r="K29" s="2">
        <v>0.6875</v>
      </c>
      <c r="L29">
        <v>80</v>
      </c>
      <c r="M29" s="4">
        <v>200</v>
      </c>
      <c r="N29" s="4">
        <f t="shared" ref="N29" si="7">I29*85</f>
        <v>212.5</v>
      </c>
    </row>
    <row r="30" spans="1:14" x14ac:dyDescent="0.25">
      <c r="A30" s="6" t="s">
        <v>39</v>
      </c>
      <c r="B30" t="s">
        <v>35</v>
      </c>
      <c r="C30" s="14" t="s">
        <v>31</v>
      </c>
      <c r="D30" t="s">
        <v>14</v>
      </c>
      <c r="E30" t="s">
        <v>20</v>
      </c>
      <c r="F30" s="14" t="s">
        <v>16</v>
      </c>
      <c r="G30" t="s">
        <v>54</v>
      </c>
      <c r="H30" s="1">
        <v>42534</v>
      </c>
      <c r="I30" s="7">
        <v>3.5</v>
      </c>
      <c r="J30" s="2">
        <v>0.33333333333333331</v>
      </c>
      <c r="K30" s="2">
        <v>0.47916666666666669</v>
      </c>
      <c r="L30">
        <v>80</v>
      </c>
      <c r="M30" s="4">
        <v>280</v>
      </c>
      <c r="N30" s="4">
        <f>I30*112.5</f>
        <v>393.75</v>
      </c>
    </row>
    <row r="31" spans="1:14" x14ac:dyDescent="0.25">
      <c r="A31" t="s">
        <v>12</v>
      </c>
      <c r="B31" t="s">
        <v>13</v>
      </c>
      <c r="C31" t="s">
        <v>12</v>
      </c>
      <c r="D31" t="s">
        <v>14</v>
      </c>
      <c r="E31" t="s">
        <v>15</v>
      </c>
      <c r="F31" t="s">
        <v>16</v>
      </c>
      <c r="G31" t="s">
        <v>17</v>
      </c>
      <c r="H31" s="1">
        <v>42534</v>
      </c>
      <c r="I31" s="5">
        <v>6</v>
      </c>
      <c r="J31" s="2">
        <v>0.375</v>
      </c>
      <c r="K31" s="2">
        <v>0.625</v>
      </c>
      <c r="L31">
        <v>100</v>
      </c>
      <c r="M31" s="4">
        <v>600</v>
      </c>
      <c r="N31" s="4">
        <f>I31*112.5</f>
        <v>675</v>
      </c>
    </row>
    <row r="32" spans="1:14" x14ac:dyDescent="0.25">
      <c r="A32" t="s">
        <v>39</v>
      </c>
      <c r="B32" t="s">
        <v>35</v>
      </c>
      <c r="C32" t="s">
        <v>39</v>
      </c>
      <c r="D32" t="s">
        <v>14</v>
      </c>
      <c r="E32" t="s">
        <v>20</v>
      </c>
      <c r="F32" t="s">
        <v>36</v>
      </c>
      <c r="G32" t="s">
        <v>55</v>
      </c>
      <c r="H32" s="1">
        <v>42535</v>
      </c>
      <c r="I32" s="5">
        <v>3.25</v>
      </c>
      <c r="J32" s="2">
        <v>0.40625</v>
      </c>
      <c r="K32" s="2">
        <v>0.54166666666666663</v>
      </c>
      <c r="L32">
        <v>80</v>
      </c>
      <c r="M32" s="4">
        <v>260</v>
      </c>
      <c r="N32" s="4">
        <f t="shared" ref="N32:N34" si="8">I32*85</f>
        <v>276.25</v>
      </c>
    </row>
    <row r="33" spans="1:14" x14ac:dyDescent="0.25">
      <c r="A33" t="s">
        <v>39</v>
      </c>
      <c r="B33" t="s">
        <v>35</v>
      </c>
      <c r="C33" t="s">
        <v>39</v>
      </c>
      <c r="D33" t="s">
        <v>14</v>
      </c>
      <c r="E33" t="s">
        <v>20</v>
      </c>
      <c r="F33" t="s">
        <v>36</v>
      </c>
      <c r="G33" t="s">
        <v>55</v>
      </c>
      <c r="H33" s="1">
        <v>42535</v>
      </c>
      <c r="I33" s="5">
        <v>1</v>
      </c>
      <c r="J33" s="2">
        <v>0.5625</v>
      </c>
      <c r="K33" s="2">
        <v>0.60416666666666663</v>
      </c>
      <c r="L33">
        <v>80</v>
      </c>
      <c r="M33" s="4">
        <v>80</v>
      </c>
      <c r="N33" s="4">
        <f t="shared" si="8"/>
        <v>85</v>
      </c>
    </row>
    <row r="34" spans="1:14" x14ac:dyDescent="0.25">
      <c r="A34" t="s">
        <v>39</v>
      </c>
      <c r="B34" t="s">
        <v>35</v>
      </c>
      <c r="C34" t="s">
        <v>39</v>
      </c>
      <c r="D34" t="s">
        <v>14</v>
      </c>
      <c r="E34" t="s">
        <v>20</v>
      </c>
      <c r="F34" t="s">
        <v>36</v>
      </c>
      <c r="G34" t="s">
        <v>56</v>
      </c>
      <c r="H34" s="1">
        <v>42535</v>
      </c>
      <c r="I34" s="5">
        <v>1.25</v>
      </c>
      <c r="J34" s="2">
        <v>0.60416666666666663</v>
      </c>
      <c r="K34" s="2">
        <v>0.65625</v>
      </c>
      <c r="L34">
        <v>80</v>
      </c>
      <c r="M34" s="4">
        <v>100</v>
      </c>
      <c r="N34" s="4">
        <f t="shared" si="8"/>
        <v>106.25</v>
      </c>
    </row>
    <row r="35" spans="1:14" x14ac:dyDescent="0.25">
      <c r="A35" t="s">
        <v>12</v>
      </c>
      <c r="B35" t="s">
        <v>19</v>
      </c>
      <c r="C35" t="s">
        <v>12</v>
      </c>
      <c r="D35" t="s">
        <v>14</v>
      </c>
      <c r="E35" t="s">
        <v>20</v>
      </c>
      <c r="F35" t="s">
        <v>16</v>
      </c>
      <c r="G35" t="s">
        <v>50</v>
      </c>
      <c r="H35" s="1">
        <v>42535</v>
      </c>
      <c r="I35" s="5">
        <v>4.5</v>
      </c>
      <c r="J35" s="2">
        <v>0.41666666666666669</v>
      </c>
      <c r="K35" s="2">
        <v>0.60416666666666663</v>
      </c>
      <c r="L35">
        <v>100</v>
      </c>
      <c r="M35" s="4">
        <v>450</v>
      </c>
      <c r="N35" s="4">
        <f t="shared" ref="N35:N36" si="9">I35*112.5</f>
        <v>506.25</v>
      </c>
    </row>
    <row r="36" spans="1:14" x14ac:dyDescent="0.25">
      <c r="A36" t="s">
        <v>12</v>
      </c>
      <c r="B36" t="s">
        <v>19</v>
      </c>
      <c r="C36" t="s">
        <v>12</v>
      </c>
      <c r="D36" t="s">
        <v>14</v>
      </c>
      <c r="E36" t="s">
        <v>20</v>
      </c>
      <c r="F36" t="s">
        <v>16</v>
      </c>
      <c r="G36" t="s">
        <v>51</v>
      </c>
      <c r="H36" s="1">
        <v>42535</v>
      </c>
      <c r="I36" s="5">
        <v>1.5</v>
      </c>
      <c r="J36" s="2">
        <v>0.35416666666666669</v>
      </c>
      <c r="K36" s="2">
        <v>0.41666666666666669</v>
      </c>
      <c r="L36">
        <v>100</v>
      </c>
      <c r="M36" s="4">
        <v>150</v>
      </c>
      <c r="N36" s="4">
        <f t="shared" si="9"/>
        <v>168.75</v>
      </c>
    </row>
    <row r="37" spans="1:14" x14ac:dyDescent="0.25">
      <c r="A37" t="s">
        <v>39</v>
      </c>
      <c r="B37" t="s">
        <v>35</v>
      </c>
      <c r="C37" t="s">
        <v>39</v>
      </c>
      <c r="D37" t="s">
        <v>14</v>
      </c>
      <c r="E37" t="s">
        <v>20</v>
      </c>
      <c r="F37" t="s">
        <v>36</v>
      </c>
      <c r="G37" t="s">
        <v>62</v>
      </c>
      <c r="H37" s="1">
        <v>42536</v>
      </c>
      <c r="I37" s="5">
        <v>1.75</v>
      </c>
      <c r="J37" s="2">
        <v>0.52083333333333337</v>
      </c>
      <c r="K37" s="2">
        <v>0.59375</v>
      </c>
      <c r="L37">
        <v>80</v>
      </c>
      <c r="M37" s="4">
        <v>140</v>
      </c>
      <c r="N37" s="4">
        <f t="shared" ref="N37:N40" si="10">I37*85</f>
        <v>148.75</v>
      </c>
    </row>
    <row r="38" spans="1:14" x14ac:dyDescent="0.25">
      <c r="A38" t="s">
        <v>39</v>
      </c>
      <c r="B38" t="s">
        <v>35</v>
      </c>
      <c r="C38" t="s">
        <v>39</v>
      </c>
      <c r="D38" t="s">
        <v>14</v>
      </c>
      <c r="E38" t="s">
        <v>20</v>
      </c>
      <c r="F38" t="s">
        <v>36</v>
      </c>
      <c r="G38" t="s">
        <v>63</v>
      </c>
      <c r="H38" s="1">
        <v>42536</v>
      </c>
      <c r="I38" s="5">
        <v>0.75</v>
      </c>
      <c r="J38" s="2">
        <v>0.66666666666666663</v>
      </c>
      <c r="K38" s="2">
        <v>0.69791666666666663</v>
      </c>
      <c r="L38">
        <v>80</v>
      </c>
      <c r="M38" s="4">
        <v>60</v>
      </c>
      <c r="N38" s="4">
        <f t="shared" si="10"/>
        <v>63.75</v>
      </c>
    </row>
    <row r="39" spans="1:14" x14ac:dyDescent="0.25">
      <c r="A39" s="6" t="s">
        <v>39</v>
      </c>
      <c r="B39" t="s">
        <v>35</v>
      </c>
      <c r="C39" s="14" t="s">
        <v>12</v>
      </c>
      <c r="D39" t="s">
        <v>14</v>
      </c>
      <c r="E39" t="s">
        <v>20</v>
      </c>
      <c r="F39" s="14" t="s">
        <v>16</v>
      </c>
      <c r="G39" t="s">
        <v>64</v>
      </c>
      <c r="H39" s="1">
        <v>42536</v>
      </c>
      <c r="I39" s="7">
        <v>2</v>
      </c>
      <c r="J39" s="15">
        <v>0.58333333333333337</v>
      </c>
      <c r="K39" s="15">
        <v>0.66666666666666663</v>
      </c>
      <c r="L39">
        <v>80</v>
      </c>
      <c r="M39" s="4">
        <v>160</v>
      </c>
      <c r="N39" s="4">
        <f>I39*112.5</f>
        <v>225</v>
      </c>
    </row>
    <row r="40" spans="1:14" x14ac:dyDescent="0.25">
      <c r="A40" t="s">
        <v>39</v>
      </c>
      <c r="B40" t="s">
        <v>35</v>
      </c>
      <c r="C40" t="s">
        <v>39</v>
      </c>
      <c r="D40" t="s">
        <v>14</v>
      </c>
      <c r="E40" t="s">
        <v>20</v>
      </c>
      <c r="F40" t="s">
        <v>36</v>
      </c>
      <c r="G40" t="s">
        <v>65</v>
      </c>
      <c r="H40" s="1">
        <v>42536</v>
      </c>
      <c r="I40" s="5">
        <v>1.25</v>
      </c>
      <c r="J40" s="2">
        <v>0.36458333333333331</v>
      </c>
      <c r="K40" s="2">
        <v>0.41666666666666669</v>
      </c>
      <c r="L40">
        <v>80</v>
      </c>
      <c r="M40" s="4">
        <v>100</v>
      </c>
      <c r="N40" s="4">
        <f t="shared" si="10"/>
        <v>106.25</v>
      </c>
    </row>
    <row r="41" spans="1:14" x14ac:dyDescent="0.25">
      <c r="A41" t="s">
        <v>12</v>
      </c>
      <c r="B41" t="s">
        <v>19</v>
      </c>
      <c r="C41" t="s">
        <v>12</v>
      </c>
      <c r="D41" t="s">
        <v>14</v>
      </c>
      <c r="E41" t="s">
        <v>20</v>
      </c>
      <c r="F41" t="s">
        <v>16</v>
      </c>
      <c r="G41" t="s">
        <v>52</v>
      </c>
      <c r="H41" s="1">
        <v>42536</v>
      </c>
      <c r="I41" s="5">
        <v>4</v>
      </c>
      <c r="J41" s="2">
        <v>0.375</v>
      </c>
      <c r="K41" s="2">
        <v>0.54166666666666663</v>
      </c>
      <c r="L41">
        <v>100</v>
      </c>
      <c r="M41" s="4">
        <v>400</v>
      </c>
      <c r="N41" s="4">
        <f>I41*112.5</f>
        <v>450</v>
      </c>
    </row>
    <row r="42" spans="1:14" x14ac:dyDescent="0.25">
      <c r="A42" s="6" t="s">
        <v>39</v>
      </c>
      <c r="B42" t="s">
        <v>35</v>
      </c>
      <c r="C42" s="14" t="s">
        <v>12</v>
      </c>
      <c r="D42" t="s">
        <v>14</v>
      </c>
      <c r="E42" t="s">
        <v>20</v>
      </c>
      <c r="F42" s="14" t="s">
        <v>16</v>
      </c>
      <c r="G42" t="s">
        <v>66</v>
      </c>
      <c r="H42" s="1">
        <v>42537</v>
      </c>
      <c r="I42" s="7">
        <v>2</v>
      </c>
      <c r="J42" s="2">
        <v>0.4375</v>
      </c>
      <c r="K42" s="2">
        <v>0.52083333333333337</v>
      </c>
      <c r="L42">
        <v>80</v>
      </c>
      <c r="M42" s="4">
        <v>160</v>
      </c>
      <c r="N42" s="4">
        <f t="shared" ref="N42:N43" si="11">I42*112.5</f>
        <v>225</v>
      </c>
    </row>
    <row r="43" spans="1:14" x14ac:dyDescent="0.25">
      <c r="A43" s="6" t="s">
        <v>39</v>
      </c>
      <c r="B43" t="s">
        <v>35</v>
      </c>
      <c r="C43" s="14" t="s">
        <v>31</v>
      </c>
      <c r="D43" t="s">
        <v>14</v>
      </c>
      <c r="E43" t="s">
        <v>20</v>
      </c>
      <c r="F43" s="14" t="s">
        <v>16</v>
      </c>
      <c r="G43" t="s">
        <v>67</v>
      </c>
      <c r="H43" s="1">
        <v>42537</v>
      </c>
      <c r="I43" s="7">
        <v>2</v>
      </c>
      <c r="J43" s="2">
        <v>0.5625</v>
      </c>
      <c r="K43" s="2">
        <v>0.64583333333333337</v>
      </c>
      <c r="L43">
        <v>80</v>
      </c>
      <c r="M43" s="4">
        <v>160</v>
      </c>
      <c r="N43" s="4">
        <f t="shared" si="11"/>
        <v>225</v>
      </c>
    </row>
    <row r="44" spans="1:14" x14ac:dyDescent="0.25">
      <c r="A44" t="s">
        <v>12</v>
      </c>
      <c r="B44" t="s">
        <v>19</v>
      </c>
      <c r="C44" t="s">
        <v>12</v>
      </c>
      <c r="D44" t="s">
        <v>14</v>
      </c>
      <c r="E44" t="s">
        <v>20</v>
      </c>
      <c r="F44" t="s">
        <v>16</v>
      </c>
      <c r="G44" t="s">
        <v>57</v>
      </c>
      <c r="H44" s="1">
        <v>42537</v>
      </c>
      <c r="I44" s="5">
        <v>3</v>
      </c>
      <c r="J44" s="2">
        <v>0.625</v>
      </c>
      <c r="K44" s="2">
        <v>0.75</v>
      </c>
      <c r="L44">
        <v>100</v>
      </c>
      <c r="M44" s="4">
        <v>300</v>
      </c>
      <c r="N44" s="4">
        <f>I44*112.5</f>
        <v>337.5</v>
      </c>
    </row>
    <row r="45" spans="1:14" x14ac:dyDescent="0.25">
      <c r="A45" s="6" t="s">
        <v>39</v>
      </c>
      <c r="B45" t="s">
        <v>35</v>
      </c>
      <c r="C45" s="14" t="s">
        <v>12</v>
      </c>
      <c r="D45" t="s">
        <v>14</v>
      </c>
      <c r="E45" t="s">
        <v>20</v>
      </c>
      <c r="F45" s="14" t="s">
        <v>16</v>
      </c>
      <c r="G45" t="s">
        <v>70</v>
      </c>
      <c r="H45" s="1">
        <v>42538</v>
      </c>
      <c r="I45" s="7">
        <v>0.5</v>
      </c>
      <c r="J45" s="2">
        <v>0.72916666666666663</v>
      </c>
      <c r="K45" s="2">
        <v>0.75</v>
      </c>
      <c r="L45">
        <v>80</v>
      </c>
      <c r="M45" s="4">
        <v>40</v>
      </c>
      <c r="N45" s="4">
        <f>I45*112.5</f>
        <v>56.25</v>
      </c>
    </row>
    <row r="46" spans="1:14" x14ac:dyDescent="0.25">
      <c r="A46" t="s">
        <v>39</v>
      </c>
      <c r="B46" t="s">
        <v>35</v>
      </c>
      <c r="C46" t="s">
        <v>39</v>
      </c>
      <c r="D46" t="s">
        <v>14</v>
      </c>
      <c r="E46" t="s">
        <v>20</v>
      </c>
      <c r="F46" t="s">
        <v>36</v>
      </c>
      <c r="G46" t="s">
        <v>71</v>
      </c>
      <c r="H46" s="1">
        <v>42538</v>
      </c>
      <c r="I46" s="5">
        <v>0.5</v>
      </c>
      <c r="J46" s="2">
        <v>0.60416666666666663</v>
      </c>
      <c r="K46" s="2">
        <v>0.625</v>
      </c>
      <c r="L46">
        <v>80</v>
      </c>
      <c r="M46" s="4">
        <v>40</v>
      </c>
      <c r="N46" s="4">
        <f t="shared" ref="N46:N48" si="12">I46*85</f>
        <v>42.5</v>
      </c>
    </row>
    <row r="47" spans="1:14" x14ac:dyDescent="0.25">
      <c r="A47" s="6" t="s">
        <v>39</v>
      </c>
      <c r="B47" t="s">
        <v>35</v>
      </c>
      <c r="C47" s="14" t="s">
        <v>12</v>
      </c>
      <c r="D47" t="s">
        <v>14</v>
      </c>
      <c r="E47" t="s">
        <v>20</v>
      </c>
      <c r="F47" s="14" t="s">
        <v>16</v>
      </c>
      <c r="G47" t="s">
        <v>72</v>
      </c>
      <c r="H47" s="1">
        <v>42538</v>
      </c>
      <c r="I47" s="7">
        <v>1</v>
      </c>
      <c r="J47" s="2">
        <v>0.35416666666666669</v>
      </c>
      <c r="K47" s="2">
        <v>0.39583333333333331</v>
      </c>
      <c r="L47">
        <v>80</v>
      </c>
      <c r="M47" s="4">
        <v>80</v>
      </c>
      <c r="N47" s="4">
        <f>I47*112.5</f>
        <v>112.5</v>
      </c>
    </row>
    <row r="48" spans="1:14" x14ac:dyDescent="0.25">
      <c r="A48" t="s">
        <v>39</v>
      </c>
      <c r="B48" t="s">
        <v>35</v>
      </c>
      <c r="C48" t="s">
        <v>39</v>
      </c>
      <c r="D48" t="s">
        <v>14</v>
      </c>
      <c r="E48" t="s">
        <v>20</v>
      </c>
      <c r="F48" t="s">
        <v>36</v>
      </c>
      <c r="G48" t="s">
        <v>73</v>
      </c>
      <c r="H48" s="1">
        <v>42538</v>
      </c>
      <c r="I48" s="5">
        <v>2</v>
      </c>
      <c r="J48" s="2">
        <v>0.47916666666666669</v>
      </c>
      <c r="K48" s="2">
        <v>0.5625</v>
      </c>
      <c r="L48">
        <v>80</v>
      </c>
      <c r="M48" s="4">
        <v>160</v>
      </c>
      <c r="N48" s="4">
        <f t="shared" si="12"/>
        <v>170</v>
      </c>
    </row>
    <row r="49" spans="1:14" x14ac:dyDescent="0.25">
      <c r="A49" s="6" t="s">
        <v>34</v>
      </c>
      <c r="B49" t="s">
        <v>35</v>
      </c>
      <c r="C49" s="14" t="s">
        <v>31</v>
      </c>
      <c r="D49" t="s">
        <v>14</v>
      </c>
      <c r="E49" t="s">
        <v>20</v>
      </c>
      <c r="F49" s="14" t="s">
        <v>16</v>
      </c>
      <c r="G49" t="s">
        <v>68</v>
      </c>
      <c r="H49" s="1">
        <v>42538</v>
      </c>
      <c r="I49" s="7">
        <v>2.5</v>
      </c>
      <c r="J49" s="2">
        <v>0.39583333333333331</v>
      </c>
      <c r="K49" s="2">
        <v>0.5</v>
      </c>
      <c r="L49">
        <v>70</v>
      </c>
      <c r="M49" s="4">
        <v>175</v>
      </c>
      <c r="N49" s="4">
        <f t="shared" ref="N49:N50" si="13">I49*112.5</f>
        <v>281.25</v>
      </c>
    </row>
    <row r="50" spans="1:14" x14ac:dyDescent="0.25">
      <c r="A50" s="6" t="s">
        <v>34</v>
      </c>
      <c r="B50" t="s">
        <v>35</v>
      </c>
      <c r="C50" s="14" t="s">
        <v>31</v>
      </c>
      <c r="D50" t="s">
        <v>14</v>
      </c>
      <c r="E50" t="s">
        <v>20</v>
      </c>
      <c r="F50" s="14" t="s">
        <v>16</v>
      </c>
      <c r="G50" t="s">
        <v>68</v>
      </c>
      <c r="H50" s="1">
        <v>42538</v>
      </c>
      <c r="I50" s="7">
        <v>5</v>
      </c>
      <c r="J50" s="2">
        <v>0.54166666666666663</v>
      </c>
      <c r="K50" s="2">
        <v>0.75</v>
      </c>
      <c r="L50">
        <v>70</v>
      </c>
      <c r="M50" s="4">
        <v>350</v>
      </c>
      <c r="N50" s="4">
        <f t="shared" si="13"/>
        <v>562.5</v>
      </c>
    </row>
    <row r="51" spans="1:14" x14ac:dyDescent="0.25">
      <c r="A51" t="s">
        <v>12</v>
      </c>
      <c r="B51" t="s">
        <v>19</v>
      </c>
      <c r="C51" t="s">
        <v>12</v>
      </c>
      <c r="D51" t="s">
        <v>14</v>
      </c>
      <c r="E51" t="s">
        <v>20</v>
      </c>
      <c r="F51" t="s">
        <v>16</v>
      </c>
      <c r="G51" t="s">
        <v>58</v>
      </c>
      <c r="H51" s="1">
        <v>42538</v>
      </c>
      <c r="I51" s="5">
        <v>4</v>
      </c>
      <c r="J51" s="2">
        <v>0.33333333333333331</v>
      </c>
      <c r="K51" s="2">
        <v>0.5</v>
      </c>
      <c r="L51">
        <v>100</v>
      </c>
      <c r="M51" s="4">
        <v>400</v>
      </c>
      <c r="N51" s="4">
        <f>I51*112.5</f>
        <v>450</v>
      </c>
    </row>
    <row r="52" spans="1:14" x14ac:dyDescent="0.25">
      <c r="A52" t="s">
        <v>39</v>
      </c>
      <c r="B52" t="s">
        <v>35</v>
      </c>
      <c r="C52" t="s">
        <v>39</v>
      </c>
      <c r="D52" t="s">
        <v>14</v>
      </c>
      <c r="E52" t="s">
        <v>20</v>
      </c>
      <c r="F52" t="s">
        <v>36</v>
      </c>
      <c r="G52" t="s">
        <v>76</v>
      </c>
      <c r="H52" s="1">
        <v>42541</v>
      </c>
      <c r="I52" s="5">
        <v>0.75</v>
      </c>
      <c r="J52" s="2">
        <v>0.54166666666666663</v>
      </c>
      <c r="K52" s="2">
        <v>0.57291666666666663</v>
      </c>
      <c r="L52">
        <v>80</v>
      </c>
      <c r="M52" s="4">
        <v>60</v>
      </c>
      <c r="N52" s="4">
        <f t="shared" ref="N52:N64" si="14">I52*85</f>
        <v>63.75</v>
      </c>
    </row>
    <row r="53" spans="1:14" x14ac:dyDescent="0.25">
      <c r="A53" s="6" t="s">
        <v>39</v>
      </c>
      <c r="B53" t="s">
        <v>35</v>
      </c>
      <c r="C53" s="14" t="s">
        <v>12</v>
      </c>
      <c r="D53" t="s">
        <v>14</v>
      </c>
      <c r="E53" t="s">
        <v>20</v>
      </c>
      <c r="F53" s="14" t="s">
        <v>16</v>
      </c>
      <c r="G53" t="s">
        <v>77</v>
      </c>
      <c r="H53" s="1">
        <v>42541</v>
      </c>
      <c r="I53" s="7">
        <v>3</v>
      </c>
      <c r="J53" s="2">
        <v>0.375</v>
      </c>
      <c r="K53" s="2">
        <v>0.5</v>
      </c>
      <c r="L53">
        <v>80</v>
      </c>
      <c r="M53" s="4">
        <v>240</v>
      </c>
      <c r="N53" s="4">
        <f>I53*112.5</f>
        <v>337.5</v>
      </c>
    </row>
    <row r="54" spans="1:14" x14ac:dyDescent="0.25">
      <c r="A54" t="s">
        <v>39</v>
      </c>
      <c r="B54" t="s">
        <v>35</v>
      </c>
      <c r="C54" t="s">
        <v>39</v>
      </c>
      <c r="D54" t="s">
        <v>14</v>
      </c>
      <c r="E54" t="s">
        <v>20</v>
      </c>
      <c r="F54" t="s">
        <v>36</v>
      </c>
      <c r="G54" t="s">
        <v>78</v>
      </c>
      <c r="H54" s="1">
        <v>42541</v>
      </c>
      <c r="I54" s="5">
        <v>1.25</v>
      </c>
      <c r="J54" s="2">
        <v>0.69791666666666663</v>
      </c>
      <c r="K54" s="2">
        <v>0.75</v>
      </c>
      <c r="L54">
        <v>80</v>
      </c>
      <c r="M54" s="4">
        <v>100</v>
      </c>
      <c r="N54" s="4">
        <f t="shared" si="14"/>
        <v>106.25</v>
      </c>
    </row>
    <row r="55" spans="1:14" x14ac:dyDescent="0.25">
      <c r="A55" s="6" t="s">
        <v>34</v>
      </c>
      <c r="B55" t="s">
        <v>35</v>
      </c>
      <c r="C55" s="14" t="s">
        <v>31</v>
      </c>
      <c r="D55" t="s">
        <v>14</v>
      </c>
      <c r="E55" t="s">
        <v>20</v>
      </c>
      <c r="F55" s="14" t="s">
        <v>16</v>
      </c>
      <c r="G55" t="s">
        <v>69</v>
      </c>
      <c r="H55" s="1">
        <v>42541</v>
      </c>
      <c r="I55" s="7">
        <v>1</v>
      </c>
      <c r="J55" s="2">
        <v>0.45833333333333331</v>
      </c>
      <c r="K55" s="2">
        <v>0.5</v>
      </c>
      <c r="L55">
        <v>70</v>
      </c>
      <c r="M55" s="4">
        <v>70</v>
      </c>
      <c r="N55" s="4">
        <f>I55*112.5</f>
        <v>112.5</v>
      </c>
    </row>
    <row r="56" spans="1:14" x14ac:dyDescent="0.25">
      <c r="A56" t="s">
        <v>39</v>
      </c>
      <c r="B56" t="s">
        <v>35</v>
      </c>
      <c r="C56" t="s">
        <v>39</v>
      </c>
      <c r="D56" t="s">
        <v>14</v>
      </c>
      <c r="E56" t="s">
        <v>20</v>
      </c>
      <c r="F56" t="s">
        <v>36</v>
      </c>
      <c r="G56" t="s">
        <v>79</v>
      </c>
      <c r="H56" s="1">
        <v>42542</v>
      </c>
      <c r="I56" s="5">
        <v>4.5</v>
      </c>
      <c r="J56" s="2">
        <v>0.58333333333333337</v>
      </c>
      <c r="K56" s="2">
        <v>0.77083333333333337</v>
      </c>
      <c r="L56">
        <v>80</v>
      </c>
      <c r="M56" s="4">
        <v>360</v>
      </c>
      <c r="N56" s="4">
        <f t="shared" si="14"/>
        <v>382.5</v>
      </c>
    </row>
    <row r="57" spans="1:14" x14ac:dyDescent="0.25">
      <c r="A57" t="s">
        <v>39</v>
      </c>
      <c r="B57" t="s">
        <v>35</v>
      </c>
      <c r="C57" t="s">
        <v>39</v>
      </c>
      <c r="D57" t="s">
        <v>14</v>
      </c>
      <c r="E57" t="s">
        <v>20</v>
      </c>
      <c r="F57" t="s">
        <v>36</v>
      </c>
      <c r="G57" t="s">
        <v>80</v>
      </c>
      <c r="H57" s="1">
        <v>42542</v>
      </c>
      <c r="I57" s="5">
        <v>1.5</v>
      </c>
      <c r="J57" s="2">
        <v>0.4375</v>
      </c>
      <c r="K57" s="2">
        <v>0.5</v>
      </c>
      <c r="L57">
        <v>80</v>
      </c>
      <c r="M57" s="4">
        <v>120</v>
      </c>
      <c r="N57" s="4">
        <f t="shared" si="14"/>
        <v>127.5</v>
      </c>
    </row>
    <row r="58" spans="1:14" x14ac:dyDescent="0.25">
      <c r="A58" t="s">
        <v>39</v>
      </c>
      <c r="B58" t="s">
        <v>35</v>
      </c>
      <c r="C58" t="s">
        <v>39</v>
      </c>
      <c r="D58" t="s">
        <v>14</v>
      </c>
      <c r="E58" t="s">
        <v>20</v>
      </c>
      <c r="F58" t="s">
        <v>36</v>
      </c>
      <c r="G58" t="s">
        <v>81</v>
      </c>
      <c r="H58" s="1">
        <v>42543</v>
      </c>
      <c r="I58" s="5">
        <v>4.75</v>
      </c>
      <c r="J58" s="2">
        <v>0.54166666666666663</v>
      </c>
      <c r="K58" s="2">
        <v>0.73958333333333337</v>
      </c>
      <c r="L58">
        <v>80</v>
      </c>
      <c r="M58" s="4">
        <v>380</v>
      </c>
      <c r="N58" s="4">
        <f t="shared" si="14"/>
        <v>403.75</v>
      </c>
    </row>
    <row r="59" spans="1:14" x14ac:dyDescent="0.25">
      <c r="A59" t="s">
        <v>39</v>
      </c>
      <c r="B59" t="s">
        <v>35</v>
      </c>
      <c r="C59" t="s">
        <v>39</v>
      </c>
      <c r="D59" t="s">
        <v>14</v>
      </c>
      <c r="E59" t="s">
        <v>20</v>
      </c>
      <c r="F59" t="s">
        <v>36</v>
      </c>
      <c r="G59" t="s">
        <v>82</v>
      </c>
      <c r="H59" s="1">
        <v>42543</v>
      </c>
      <c r="I59" s="5">
        <v>3</v>
      </c>
      <c r="J59" s="2">
        <v>0.375</v>
      </c>
      <c r="K59" s="2">
        <v>0.5</v>
      </c>
      <c r="L59">
        <v>80</v>
      </c>
      <c r="M59" s="4">
        <v>240</v>
      </c>
      <c r="N59" s="4">
        <f t="shared" si="14"/>
        <v>255</v>
      </c>
    </row>
    <row r="60" spans="1:14" x14ac:dyDescent="0.25">
      <c r="A60" s="6" t="s">
        <v>34</v>
      </c>
      <c r="B60" t="s">
        <v>35</v>
      </c>
      <c r="C60" s="14" t="s">
        <v>12</v>
      </c>
      <c r="D60" t="s">
        <v>14</v>
      </c>
      <c r="E60" t="s">
        <v>20</v>
      </c>
      <c r="F60" s="14" t="s">
        <v>16</v>
      </c>
      <c r="G60" t="s">
        <v>74</v>
      </c>
      <c r="H60" s="1">
        <v>42543</v>
      </c>
      <c r="I60" s="7">
        <v>5.5</v>
      </c>
      <c r="J60" s="2">
        <v>0.54166666666666663</v>
      </c>
      <c r="K60" s="2">
        <v>0.77083333333333337</v>
      </c>
      <c r="L60">
        <v>70</v>
      </c>
      <c r="M60" s="4">
        <v>385</v>
      </c>
      <c r="N60" s="4">
        <f>I60*112.5</f>
        <v>618.75</v>
      </c>
    </row>
    <row r="61" spans="1:14" x14ac:dyDescent="0.25">
      <c r="A61" t="s">
        <v>34</v>
      </c>
      <c r="B61" t="s">
        <v>35</v>
      </c>
      <c r="C61" t="s">
        <v>34</v>
      </c>
      <c r="D61" t="s">
        <v>14</v>
      </c>
      <c r="E61" t="s">
        <v>20</v>
      </c>
      <c r="F61" t="s">
        <v>36</v>
      </c>
      <c r="G61" t="s">
        <v>75</v>
      </c>
      <c r="H61" s="1">
        <v>42543</v>
      </c>
      <c r="I61" s="5">
        <v>1</v>
      </c>
      <c r="J61" s="2">
        <v>0.45833333333333331</v>
      </c>
      <c r="K61" s="2">
        <v>0.5</v>
      </c>
      <c r="L61">
        <v>70</v>
      </c>
      <c r="M61" s="4">
        <v>70</v>
      </c>
      <c r="N61" s="4">
        <f t="shared" si="14"/>
        <v>85</v>
      </c>
    </row>
    <row r="62" spans="1:14" x14ac:dyDescent="0.25">
      <c r="A62" s="6" t="s">
        <v>39</v>
      </c>
      <c r="B62" t="s">
        <v>35</v>
      </c>
      <c r="C62" s="14" t="s">
        <v>12</v>
      </c>
      <c r="D62" t="s">
        <v>14</v>
      </c>
      <c r="E62" t="s">
        <v>20</v>
      </c>
      <c r="F62" s="14" t="s">
        <v>16</v>
      </c>
      <c r="G62" t="s">
        <v>83</v>
      </c>
      <c r="H62" s="1">
        <v>42544</v>
      </c>
      <c r="I62" s="7">
        <v>2.5</v>
      </c>
      <c r="J62" s="2">
        <v>0.39583333333333331</v>
      </c>
      <c r="K62" s="2">
        <v>0.5</v>
      </c>
      <c r="L62">
        <v>80</v>
      </c>
      <c r="M62" s="4">
        <v>200</v>
      </c>
      <c r="N62" s="4">
        <f>I62*112.5</f>
        <v>281.25</v>
      </c>
    </row>
    <row r="63" spans="1:14" x14ac:dyDescent="0.25">
      <c r="A63" t="s">
        <v>39</v>
      </c>
      <c r="B63" t="s">
        <v>35</v>
      </c>
      <c r="C63" t="s">
        <v>39</v>
      </c>
      <c r="D63" t="s">
        <v>14</v>
      </c>
      <c r="E63" t="s">
        <v>20</v>
      </c>
      <c r="F63" s="14" t="s">
        <v>16</v>
      </c>
      <c r="G63" t="s">
        <v>84</v>
      </c>
      <c r="H63" s="1">
        <v>42545</v>
      </c>
      <c r="I63" s="7">
        <v>0.5</v>
      </c>
      <c r="J63" s="2">
        <v>0.59375</v>
      </c>
      <c r="K63" s="2">
        <v>0.61458333333333337</v>
      </c>
      <c r="L63">
        <v>80</v>
      </c>
      <c r="M63" s="4">
        <v>40</v>
      </c>
      <c r="N63" s="4">
        <f>I63*112.5</f>
        <v>56.25</v>
      </c>
    </row>
    <row r="64" spans="1:14" x14ac:dyDescent="0.25">
      <c r="A64" t="s">
        <v>39</v>
      </c>
      <c r="B64" t="s">
        <v>35</v>
      </c>
      <c r="C64" t="s">
        <v>39</v>
      </c>
      <c r="D64" t="s">
        <v>14</v>
      </c>
      <c r="E64" t="s">
        <v>20</v>
      </c>
      <c r="F64" t="s">
        <v>36</v>
      </c>
      <c r="G64" t="s">
        <v>85</v>
      </c>
      <c r="H64" s="1">
        <v>42545</v>
      </c>
      <c r="I64" s="5">
        <v>1.25</v>
      </c>
      <c r="J64" s="2">
        <v>0.42708333333333331</v>
      </c>
      <c r="K64" s="2">
        <v>0.47916666666666669</v>
      </c>
      <c r="L64">
        <v>80</v>
      </c>
      <c r="M64" s="4">
        <v>100</v>
      </c>
      <c r="N64" s="4">
        <f t="shared" si="14"/>
        <v>106.25</v>
      </c>
    </row>
    <row r="65" spans="1:15" x14ac:dyDescent="0.25">
      <c r="A65" s="10" t="s">
        <v>39</v>
      </c>
      <c r="B65" s="10" t="s">
        <v>35</v>
      </c>
      <c r="C65" s="10" t="s">
        <v>39</v>
      </c>
      <c r="D65" s="10" t="s">
        <v>14</v>
      </c>
      <c r="E65" s="10" t="s">
        <v>20</v>
      </c>
      <c r="F65" s="10" t="s">
        <v>36</v>
      </c>
      <c r="G65" s="10" t="s">
        <v>86</v>
      </c>
      <c r="H65" s="11">
        <v>42545</v>
      </c>
      <c r="I65" s="9"/>
      <c r="J65" s="12">
        <v>0.53125</v>
      </c>
      <c r="K65" s="12">
        <v>0.58333333333333337</v>
      </c>
      <c r="L65" s="10">
        <v>80</v>
      </c>
      <c r="M65" s="13">
        <v>100</v>
      </c>
      <c r="N65" s="13"/>
    </row>
    <row r="66" spans="1:15" x14ac:dyDescent="0.25">
      <c r="A66" t="s">
        <v>12</v>
      </c>
      <c r="B66" t="s">
        <v>13</v>
      </c>
      <c r="C66" t="s">
        <v>12</v>
      </c>
      <c r="D66" t="s">
        <v>14</v>
      </c>
      <c r="E66" t="s">
        <v>15</v>
      </c>
      <c r="F66" t="s">
        <v>16</v>
      </c>
      <c r="G66" t="s">
        <v>18</v>
      </c>
      <c r="H66" s="1">
        <v>42545</v>
      </c>
      <c r="I66" s="5">
        <v>2.5</v>
      </c>
      <c r="J66" s="2">
        <v>0.35416666666666669</v>
      </c>
      <c r="K66" s="2">
        <v>0.45833333333333331</v>
      </c>
      <c r="L66">
        <v>100</v>
      </c>
      <c r="M66" s="4">
        <v>250</v>
      </c>
      <c r="N66" s="4">
        <f>I66*112.5</f>
        <v>281.25</v>
      </c>
    </row>
    <row r="67" spans="1:15" x14ac:dyDescent="0.25">
      <c r="A67" s="6" t="s">
        <v>39</v>
      </c>
      <c r="B67" t="s">
        <v>35</v>
      </c>
      <c r="C67" s="14" t="s">
        <v>31</v>
      </c>
      <c r="D67" t="s">
        <v>14</v>
      </c>
      <c r="E67" t="s">
        <v>20</v>
      </c>
      <c r="F67" s="14" t="s">
        <v>16</v>
      </c>
      <c r="G67" t="s">
        <v>87</v>
      </c>
      <c r="H67" s="1">
        <v>42549</v>
      </c>
      <c r="I67" s="7">
        <v>1.75</v>
      </c>
      <c r="J67" s="2">
        <v>0.66666666666666663</v>
      </c>
      <c r="K67" s="2">
        <v>0.73958333333333337</v>
      </c>
      <c r="L67">
        <v>80</v>
      </c>
      <c r="M67" s="4">
        <v>140</v>
      </c>
      <c r="N67" s="4">
        <f>I67*112.5</f>
        <v>196.875</v>
      </c>
    </row>
    <row r="68" spans="1:15" x14ac:dyDescent="0.25">
      <c r="A68" t="s">
        <v>12</v>
      </c>
      <c r="B68" t="s">
        <v>19</v>
      </c>
      <c r="C68" t="s">
        <v>12</v>
      </c>
      <c r="D68" t="s">
        <v>14</v>
      </c>
      <c r="E68" t="s">
        <v>20</v>
      </c>
      <c r="F68" t="s">
        <v>16</v>
      </c>
      <c r="G68" t="s">
        <v>59</v>
      </c>
      <c r="H68" s="1">
        <v>42549</v>
      </c>
      <c r="I68" s="5">
        <v>5</v>
      </c>
      <c r="J68" s="2">
        <v>0.54166666666666663</v>
      </c>
      <c r="K68" s="2">
        <v>0.75</v>
      </c>
      <c r="L68">
        <v>100</v>
      </c>
      <c r="M68" s="4">
        <v>500</v>
      </c>
      <c r="N68" s="4">
        <f t="shared" ref="N68:N69" si="15">I68*112.5</f>
        <v>562.5</v>
      </c>
    </row>
    <row r="69" spans="1:15" x14ac:dyDescent="0.25">
      <c r="A69" t="s">
        <v>12</v>
      </c>
      <c r="B69" t="s">
        <v>19</v>
      </c>
      <c r="C69" t="s">
        <v>12</v>
      </c>
      <c r="D69" t="s">
        <v>14</v>
      </c>
      <c r="E69" t="s">
        <v>20</v>
      </c>
      <c r="F69" t="s">
        <v>16</v>
      </c>
      <c r="G69" t="s">
        <v>60</v>
      </c>
      <c r="H69" s="1">
        <v>42549</v>
      </c>
      <c r="I69" s="5">
        <v>3</v>
      </c>
      <c r="J69" s="2">
        <v>0.375</v>
      </c>
      <c r="K69" s="2">
        <v>0.5</v>
      </c>
      <c r="L69">
        <v>100</v>
      </c>
      <c r="M69" s="4">
        <v>300</v>
      </c>
      <c r="N69" s="4">
        <f t="shared" si="15"/>
        <v>337.5</v>
      </c>
    </row>
    <row r="70" spans="1:15" x14ac:dyDescent="0.25">
      <c r="A70" t="s">
        <v>34</v>
      </c>
      <c r="B70" t="s">
        <v>35</v>
      </c>
      <c r="C70" t="s">
        <v>34</v>
      </c>
      <c r="D70" t="s">
        <v>14</v>
      </c>
      <c r="E70" t="s">
        <v>20</v>
      </c>
      <c r="F70" t="s">
        <v>36</v>
      </c>
      <c r="G70" t="s">
        <v>88</v>
      </c>
      <c r="H70" s="1">
        <v>42550</v>
      </c>
      <c r="I70" s="5">
        <v>2.75</v>
      </c>
      <c r="J70" s="2">
        <v>0.36458333333333331</v>
      </c>
      <c r="K70" s="2">
        <v>0.47916666666666669</v>
      </c>
      <c r="L70">
        <v>70</v>
      </c>
      <c r="M70" s="4">
        <v>192.5</v>
      </c>
      <c r="N70" s="4">
        <f t="shared" ref="N70" si="16">I70*85</f>
        <v>233.75</v>
      </c>
    </row>
    <row r="71" spans="1:15" x14ac:dyDescent="0.25">
      <c r="A71" s="10" t="s">
        <v>34</v>
      </c>
      <c r="B71" s="10" t="s">
        <v>35</v>
      </c>
      <c r="C71" s="10" t="s">
        <v>34</v>
      </c>
      <c r="D71" s="10" t="s">
        <v>14</v>
      </c>
      <c r="E71" s="10" t="s">
        <v>20</v>
      </c>
      <c r="F71" s="10" t="s">
        <v>36</v>
      </c>
      <c r="G71" s="10" t="s">
        <v>88</v>
      </c>
      <c r="H71" s="11">
        <v>42550</v>
      </c>
      <c r="I71" s="9"/>
      <c r="J71" s="12">
        <v>0.52083333333333337</v>
      </c>
      <c r="K71" s="12">
        <v>0.71875</v>
      </c>
      <c r="L71" s="10">
        <v>70</v>
      </c>
      <c r="M71" s="13">
        <v>332.5</v>
      </c>
      <c r="N71" s="13"/>
    </row>
    <row r="72" spans="1:15" x14ac:dyDescent="0.25">
      <c r="A72" t="s">
        <v>12</v>
      </c>
      <c r="B72" t="s">
        <v>19</v>
      </c>
      <c r="C72" t="s">
        <v>12</v>
      </c>
      <c r="D72" t="s">
        <v>14</v>
      </c>
      <c r="E72" t="s">
        <v>20</v>
      </c>
      <c r="F72" t="s">
        <v>16</v>
      </c>
      <c r="G72" t="s">
        <v>61</v>
      </c>
      <c r="H72" s="1">
        <v>42550</v>
      </c>
      <c r="I72" s="5">
        <v>4</v>
      </c>
      <c r="J72" s="2">
        <v>0.375</v>
      </c>
      <c r="K72" s="2">
        <v>0.54166666666666663</v>
      </c>
      <c r="L72">
        <v>100</v>
      </c>
      <c r="M72" s="4">
        <v>400</v>
      </c>
      <c r="N72" s="4">
        <f>I72*112.5</f>
        <v>450</v>
      </c>
    </row>
    <row r="73" spans="1:15" x14ac:dyDescent="0.25">
      <c r="M73" s="4"/>
      <c r="N73" s="4"/>
    </row>
    <row r="74" spans="1:15" x14ac:dyDescent="0.25">
      <c r="I74" s="5">
        <f>SUM(I2:I73)</f>
        <v>204.75</v>
      </c>
      <c r="M74" s="4">
        <f>SUM(M2:M73)</f>
        <v>18905</v>
      </c>
      <c r="N74" s="4">
        <f>SUM(N2:N73)</f>
        <v>21363.75</v>
      </c>
      <c r="O74">
        <v>21351.25</v>
      </c>
    </row>
  </sheetData>
  <autoFilter ref="A1:N72"/>
  <sortState ref="A2:N72">
    <sortCondition ref="H2:H72"/>
    <sortCondition ref="A2:A72"/>
  </sortState>
  <pageMargins left="0.7" right="0.7" top="0.78740157499999996" bottom="0.78740157499999996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1</vt:i4>
      </vt:variant>
    </vt:vector>
  </HeadingPairs>
  <TitlesOfParts>
    <vt:vector size="1" baseType="lpstr">
      <vt:lpstr>Buchungen angepasst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Aschenbrenner, Christoph (init)</dc:creator>
  <cp:lastModifiedBy>Seidler, Marco (init)</cp:lastModifiedBy>
  <dcterms:created xsi:type="dcterms:W3CDTF">2016-07-21T12:20:59Z</dcterms:created>
  <dcterms:modified xsi:type="dcterms:W3CDTF">2016-08-29T12:57:37Z</dcterms:modified>
</cp:coreProperties>
</file>